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6c54bdd48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ceea22b546d4438"/>
    <x:sheet xmlns:r="http://schemas.openxmlformats.org/officeDocument/2006/relationships" name="Catalogue" sheetId="2" r:id="R49d5aec66f754201"/>
    <x:sheet xmlns:r="http://schemas.openxmlformats.org/officeDocument/2006/relationships" name="Checklists" sheetId="3" r:id="R7474b3a38f6b49dc"/>
    <x:sheet xmlns:r="http://schemas.openxmlformats.org/officeDocument/2006/relationships" name="XP and levels" sheetId="4" r:id="Re7086e9bee9147e0"/>
    <x:sheet xmlns:r="http://schemas.openxmlformats.org/officeDocument/2006/relationships" name="Validation" sheetId="5" r:id="Ra9883e2f9804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B2B21"/>
      <x:name val="Carlito"/>
    </x:font>
    <x:font>
      <x:b/>
      <x:sz val="11"/>
      <x:color rgb="FFFFFFFF"/>
      <x:name val="Carlito"/>
    </x:font>
    <x:font>
      <x:sz val="11"/>
      <x:color rgb="FF526158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85943"/>
      </x:patternFill>
    </x:fill>
    <x:fill>
      <x:patternFill patternType="solid">
        <x:fgColor rgb="FFDCE9DC"/>
      </x:patternFill>
    </x:fill>
    <x:fill>
      <x:patternFill patternType="solid">
        <x:fgColor rgb="FFFBF9F2"/>
      </x:patternFill>
    </x:fill>
    <x:fill>
      <x:patternFill patternType="solid">
        <x:fgColor rgb="FFF6E6B5"/>
      </x:patternFill>
    </x:fill>
  </x:fills>
  <x:borders count="9">
    <x:border/>
    <x:border>
      <x:left style="thin">
        <x:color rgb="FFB8C8B8"/>
      </x:left>
      <x:top style="thin">
        <x:color rgb="FFB8C8B8"/>
      </x:top>
    </x:border>
    <x:border>
      <x:top style="thin">
        <x:color rgb="FFB8C8B8"/>
      </x:top>
    </x:border>
    <x:border>
      <x:right style="thin">
        <x:color rgb="FFB8C8B8"/>
      </x:right>
      <x:top style="thin">
        <x:color rgb="FFB8C8B8"/>
      </x:top>
    </x:border>
    <x:border>
      <x:left style="thin">
        <x:color rgb="FFB8C8B8"/>
      </x:left>
    </x:border>
    <x:border>
      <x:right style="thin">
        <x:color rgb="FFB8C8B8"/>
      </x:right>
    </x:border>
    <x:border>
      <x:left style="thin">
        <x:color rgb="FFB8C8B8"/>
      </x:left>
      <x:bottom style="thin">
        <x:color rgb="FFB8C8B8"/>
      </x:bottom>
    </x:border>
    <x:border>
      <x:bottom style="thin">
        <x:color rgb="FFB8C8B8"/>
      </x:bottom>
    </x:border>
    <x:border>
      <x:right style="thin">
        <x:color rgb="FFB8C8B8"/>
      </x:right>
      <x:bottom style="thin">
        <x:color rgb="FFB8C8B8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4" fillId="4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8D7D5"/>
        </x:patternFill>
      </x:fill>
    </x:dxf>
    <x:dxf>
      <x:font>
        <x:b/>
        <x:color rgb="FF285943"/>
      </x:font>
      <x:fill>
        <x:patternFill patternType="solid">
          <x:bgColor rgb="FFDCE9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1fd932cd64753" /><Relationship Type="http://schemas.openxmlformats.org/officeDocument/2006/relationships/theme" Target="/xl/theme/theme1.xml" Id="R74110eb90b554463" /><Relationship Type="http://schemas.microsoft.com/office/2022/11/relationships/FeaturePropertyBag" Target="/xl/featurePropertyBag/featurePropertyBag.xml" Id="R8a8037c4c47e4d12" /><Relationship Type="http://schemas.openxmlformats.org/officeDocument/2006/relationships/sharedStrings" Target="/xl/sharedStrings.xml" Id="Ra25e76c4014b4084" /><Relationship Type="http://schemas.openxmlformats.org/officeDocument/2006/relationships/worksheet" Target="/xl/worksheets/sheet1.xml" Id="R3ceea22b546d4438" /><Relationship Type="http://schemas.openxmlformats.org/officeDocument/2006/relationships/worksheet" Target="/xl/worksheets/sheet2.xml" Id="R49d5aec66f754201" /><Relationship Type="http://schemas.openxmlformats.org/officeDocument/2006/relationships/worksheet" Target="/xl/worksheets/sheet3.xml" Id="R7474b3a38f6b49dc" /><Relationship Type="http://schemas.openxmlformats.org/officeDocument/2006/relationships/worksheet" Target="/xl/worksheets/sheet4.xml" Id="Re7086e9bee9147e0" /><Relationship Type="http://schemas.openxmlformats.org/officeDocument/2006/relationships/worksheet" Target="/xl/worksheets/sheet5.xml" Id="Ra9883e2f980449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ueEntries" displayName="CatalogueEntries" ref="A1:I2545" headerRowCount="1" totalsRowCount="0" totalsRowShown="0">
  <x:tableColumns count="9">
    <x:tableColumn id="1" name="Region"/>
    <x:tableColumn id="2" name="Catalogue version"/>
    <x:tableColumn id="3" name="Taxon ID"/>
    <x:tableColumn id="4" name="Common name (reference)"/>
    <x:tableColumn id="5" name="Scientific name (reference)"/>
    <x:tableColumn id="6" name="Encounter rarity"/>
    <x:tableColumn id="7" name="Prestige"/>
    <x:tableColumn id="8" name="Seasonality"/>
    <x:tableColumn id="9" name="Inclusion prove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alChecklists" displayName="RegionalChecklists" ref="A1:F46" headerRowCount="1" totalsRowCount="0" totalsRowShown="0">
  <x:tableColumns count="6">
    <x:tableColumn id="1" name="Region"/>
    <x:tableColumn id="2" name="List"/>
    <x:tableColumn id="3" name="Position"/>
    <x:tableColumn id="4" name="Taxon ID"/>
    <x:tableColumn id="5" name="Common name (reference)"/>
    <x:tableColumn id="6" name="Scientific name (reference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b02345209744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34638da8654b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2" hidden="0" customWidth="1"/>
  </x:cols>
  <x:sheetData>
    <x:row r="1" ht="30" customHeight="1">
      <x:c r="A1" s="12" t="str">
        <x:v>Wildlife content manager</x:v>
      </x:c>
      <x:c r="B1" s="13"/>
      <x:c r="C1" s="13"/>
      <x:c r="D1" s="13"/>
      <x:c r="E1" s="13"/>
      <x:c r="F1" s="13"/>
      <x:c r="G1" s="13"/>
      <x:c r="H1" s="14"/>
    </x:row>
    <x:row r="2">
      <x:c r="A2" s="15"/>
      <x:c r="B2" s="16"/>
      <x:c r="C2" s="16"/>
      <x:c r="D2" s="16"/>
      <x:c r="E2" s="16"/>
      <x:c r="F2" s="16"/>
      <x:c r="G2" s="16"/>
      <x:c r="H2" s="17"/>
    </x:row>
    <x:row r="3" ht="32" customHeight="1">
      <x:c r="A3" s="18" t="str">
        <x:v>This workbook is the editable review source for the pilot catalogue, 10 Essentials, 5 Icons, XP values and level thresholds.</x:v>
      </x:c>
      <x:c r="B3" s="16"/>
      <x:c r="C3" s="16"/>
      <x:c r="D3" s="16"/>
      <x:c r="E3" s="16"/>
      <x:c r="F3" s="16"/>
      <x:c r="G3" s="16"/>
      <x:c r="H3" s="17"/>
    </x:row>
    <x:row r="4">
      <x:c r="A4" s="15"/>
      <x:c r="B4" s="16"/>
      <x:c r="C4" s="16"/>
      <x:c r="D4" s="16"/>
      <x:c r="E4" s="16"/>
      <x:c r="F4" s="16"/>
      <x:c r="G4" s="16"/>
      <x:c r="H4" s="17"/>
    </x:row>
    <x:row r="5" ht="32" customHeight="1">
      <x:c r="A5" s="19" t="str">
        <x:v>1</x:v>
      </x:c>
      <x:c r="B5" s="10" t="str">
        <x:v>Edit the green input sheets: Catalogue, Checklists, XP and levels.</x:v>
      </x:c>
      <x:c r="C5" s="16"/>
      <x:c r="D5" s="16"/>
      <x:c r="E5" s="16"/>
      <x:c r="F5" s="16"/>
      <x:c r="G5" s="16"/>
      <x:c r="H5" s="17"/>
    </x:row>
    <x:row r="6" ht="32" customHeight="1">
      <x:c r="A6" s="19" t="str">
        <x:v>2</x:v>
      </x:c>
      <x:c r="B6" s="10" t="str">
        <x:v>Keep taxon IDs from the Catalogue sheet. To add a species, it must already exist in catalogues/taxa.yaml.</x:v>
      </x:c>
      <x:c r="C6" s="16"/>
      <x:c r="D6" s="16"/>
      <x:c r="E6" s="16"/>
      <x:c r="F6" s="16"/>
      <x:c r="G6" s="16"/>
      <x:c r="H6" s="17"/>
    </x:row>
    <x:row r="7" ht="32" customHeight="1">
      <x:c r="A7" s="19" t="str">
        <x:v>3</x:v>
      </x:c>
      <x:c r="B7" s="10" t="str">
        <x:v>Every region must have exactly 10 Essentials and 5 Icons. Icons become Legendary; Essentials become Standard.</x:v>
      </x:c>
      <x:c r="C7" s="16"/>
      <x:c r="D7" s="16"/>
      <x:c r="E7" s="16"/>
      <x:c r="F7" s="16"/>
      <x:c r="G7" s="16"/>
      <x:c r="H7" s="17"/>
    </x:row>
    <x:row r="8" ht="32" customHeight="1">
      <x:c r="A8" s="19" t="str">
        <x:v>4</x:v>
      </x:c>
      <x:c r="B8" s="10" t="str">
        <x:v>Run tools/import_content_workbook.py to validate and apply the workbook. It refuses invalid changes and writes no partial source updates.</x:v>
      </x:c>
      <x:c r="C8" s="16"/>
      <x:c r="D8" s="16"/>
      <x:c r="E8" s="16"/>
      <x:c r="F8" s="16"/>
      <x:c r="G8" s="16"/>
      <x:c r="H8" s="17"/>
    </x:row>
    <x:row r="9" ht="32" customHeight="1">
      <x:c r="A9" s="19" t="str">
        <x:v>5</x:v>
      </x:c>
      <x:c r="B9" s="10" t="str">
        <x:v>Then run tools/generate_catalogues.py and the Android tests/build before committing.</x:v>
      </x:c>
      <x:c r="C9" s="16"/>
      <x:c r="D9" s="16"/>
      <x:c r="E9" s="16"/>
      <x:c r="F9" s="16"/>
      <x:c r="G9" s="16"/>
      <x:c r="H9" s="17"/>
    </x:row>
    <x:row r="10">
      <x:c r="A10" s="15"/>
      <x:c r="B10" s="16"/>
      <x:c r="C10" s="16"/>
      <x:c r="D10" s="16"/>
      <x:c r="E10" s="16"/>
      <x:c r="F10" s="16"/>
      <x:c r="G10" s="16"/>
      <x:c r="H10" s="17"/>
    </x:row>
    <x:row r="11">
      <x:c r="A11" s="18" t="str">
        <x:v>Guardrails</x:v>
      </x:c>
      <x:c r="B11" s="16"/>
      <x:c r="C11" s="16"/>
      <x:c r="D11" s="16"/>
      <x:c r="E11" s="16"/>
      <x:c r="F11" s="16"/>
      <x:c r="G11" s="16"/>
      <x:c r="H11" s="17"/>
    </x:row>
    <x:row r="12" ht="30" customHeight="1">
      <x:c r="A12" s="20" t="str">
        <x:v>Biology</x:v>
      </x:c>
      <x:c r="B12" s="9" t="str">
        <x:v>The workbook only curates Wildlife's collection projection. iNaturalist remains the biological source of truth.</x:v>
      </x:c>
      <x:c r="C12" s="9"/>
      <x:c r="D12" s="9"/>
      <x:c r="E12" s="9"/>
      <x:c r="F12" s="9"/>
      <x:c r="G12" s="9"/>
      <x:c r="H12" s="21"/>
    </x:row>
    <x:row r="13" ht="30" customHeight="1">
      <x:c r="A13" s="20" t="str">
        <x:v>Release</x:v>
      </x:c>
      <x:c r="B13" s="9" t="str">
        <x:v>A content edit is always a draft. Freeze versions only when the pilot content and media provenance have been reviewed.</x:v>
      </x:c>
      <x:c r="C13" s="9"/>
      <x:c r="D13" s="9"/>
      <x:c r="E13" s="9"/>
      <x:c r="F13" s="9"/>
      <x:c r="G13" s="9"/>
      <x:c r="H13" s="21"/>
    </x:row>
    <x:row r="14" ht="30" customHeight="1">
      <x:c r="A14" s="22" t="str">
        <x:v>XP</x:v>
      </x:c>
      <x:c r="B14" s="23" t="str">
        <x:v>Changing XP affects future events; it cannot rewrite XP already recorded by the app.</x:v>
      </x:c>
      <x:c r="C14" s="23"/>
      <x:c r="D14" s="23"/>
      <x:c r="E14" s="23"/>
      <x:c r="F14" s="23"/>
      <x:c r="G14" s="23"/>
      <x:c r="H14" s="24"/>
    </x:row>
  </x:sheetData>
  <x:mergeCells>
    <x:mergeCell ref="A1:H1"/>
    <x:mergeCell ref="A3:H3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14" hidden="0" customWidth="1"/>
    <x:col min="4" max="4" width="28" hidden="0" customWidth="1"/>
    <x:col min="5" max="5" width="30" hidden="0" customWidth="1"/>
    <x:col min="6" max="6" width="17" hidden="0" customWidth="1"/>
    <x:col min="7" max="7" width="17" hidden="0" customWidth="1"/>
    <x:col min="8" max="8" width="22" hidden="0" customWidth="1"/>
    <x:col min="9" max="9" width="64" hidden="0" customWidth="1"/>
  </x:cols>
  <x:sheetData>
    <x:row r="1">
      <x:c r="A1" s="33" t="str">
        <x:v>Region</x:v>
      </x:c>
      <x:c r="B1" s="34" t="str">
        <x:v>Catalogue version</x:v>
      </x:c>
      <x:c r="C1" s="34" t="str">
        <x:v>Taxon ID</x:v>
      </x:c>
      <x:c r="D1" s="34" t="str">
        <x:v>Common name (reference)</x:v>
      </x:c>
      <x:c r="E1" s="34" t="str">
        <x:v>Scientific name (reference)</x:v>
      </x:c>
      <x:c r="F1" s="34" t="str">
        <x:v>Encounter rarity</x:v>
      </x:c>
      <x:c r="G1" s="34" t="str">
        <x:v>Prestige</x:v>
      </x:c>
      <x:c r="H1" s="34" t="str">
        <x:v>Seasonality</x:v>
      </x:c>
      <x:c r="I1" s="35" t="str">
        <x:v>Inclusion provenance</x:v>
      </x:c>
    </x:row>
    <x:row r="2">
      <x:c r="A2" s="36" t="str">
        <x:v>mediterranean_europe</x:v>
      </x:c>
      <x:c r="B2" s="30" t="str">
        <x:v>mediterranean-europe-broad-draft-1</x:v>
      </x:c>
      <x:c r="C2" s="30" t="n">
        <x:v>42184</x:v>
      </x:c>
      <x:c r="D2" s="32" t="str">
        <x:v>Western Roe Deer</x:v>
      </x:c>
      <x:c r="E2" s="32" t="str">
        <x:v>Capreolus capreolus</x:v>
      </x:c>
      <x:c r="F2" s="30" t="str">
        <x:v>common</x:v>
      </x:c>
      <x:c r="G2" s="30" t="str">
        <x:v>standard</x:v>
      </x:c>
      <x:c r="H2" s="30" t="str">
        <x:v>year-round</x:v>
      </x:c>
      <x:c r="I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">
      <x:c r="A3" s="36" t="str">
        <x:v>mediterranean_europe</x:v>
      </x:c>
      <x:c r="B3" s="30" t="str">
        <x:v>mediterranean-europe-broad-draft-1</x:v>
      </x:c>
      <x:c r="C3" s="30" t="n">
        <x:v>42069</x:v>
      </x:c>
      <x:c r="D3" s="32" t="str">
        <x:v>Red Fox</x:v>
      </x:c>
      <x:c r="E3" s="32" t="str">
        <x:v>Vulpes vulpes</x:v>
      </x:c>
      <x:c r="F3" s="30" t="str">
        <x:v>common</x:v>
      </x:c>
      <x:c r="G3" s="30" t="str">
        <x:v>standard</x:v>
      </x:c>
      <x:c r="H3" s="30" t="str">
        <x:v>year-round</x:v>
      </x:c>
      <x:c r="I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">
      <x:c r="A4" s="36" t="str">
        <x:v>mediterranean_europe</x:v>
      </x:c>
      <x:c r="B4" s="30" t="str">
        <x:v>mediterranean-europe-broad-draft-1</x:v>
      </x:c>
      <x:c r="C4" s="30" t="n">
        <x:v>42134</x:v>
      </x:c>
      <x:c r="D4" s="32" t="str">
        <x:v>Wild Boar</x:v>
      </x:c>
      <x:c r="E4" s="32" t="str">
        <x:v>Sus scrofa</x:v>
      </x:c>
      <x:c r="F4" s="30" t="str">
        <x:v>common</x:v>
      </x:c>
      <x:c r="G4" s="30" t="str">
        <x:v>standard</x:v>
      </x:c>
      <x:c r="H4" s="30" t="str">
        <x:v>year-round</x:v>
      </x:c>
      <x:c r="I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">
      <x:c r="A5" s="36" t="str">
        <x:v>mediterranean_europe</x:v>
      </x:c>
      <x:c r="B5" s="30" t="str">
        <x:v>mediterranean-europe-broad-draft-1</x:v>
      </x:c>
      <x:c r="C5" s="30" t="n">
        <x:v>43151</x:v>
      </x:c>
      <x:c r="D5" s="32" t="str">
        <x:v>European Rabbit</x:v>
      </x:c>
      <x:c r="E5" s="32" t="str">
        <x:v>Oryctolagus cuniculus</x:v>
      </x:c>
      <x:c r="F5" s="30" t="str">
        <x:v>common</x:v>
      </x:c>
      <x:c r="G5" s="30" t="str">
        <x:v>standard</x:v>
      </x:c>
      <x:c r="H5" s="30" t="str">
        <x:v>year-round</x:v>
      </x:c>
      <x:c r="I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">
      <x:c r="A6" s="36" t="str">
        <x:v>mediterranean_europe</x:v>
      </x:c>
      <x:c r="B6" s="30" t="str">
        <x:v>mediterranean-europe-broad-draft-1</x:v>
      </x:c>
      <x:c r="C6" s="30" t="n">
        <x:v>46001</x:v>
      </x:c>
      <x:c r="D6" s="32" t="str">
        <x:v>Eurasian Red Squirrel</x:v>
      </x:c>
      <x:c r="E6" s="32" t="str">
        <x:v>Sciurus vulgaris</x:v>
      </x:c>
      <x:c r="F6" s="30" t="str">
        <x:v>common</x:v>
      </x:c>
      <x:c r="G6" s="30" t="str">
        <x:v>standard</x:v>
      </x:c>
      <x:c r="H6" s="30" t="str">
        <x:v>year-round</x:v>
      </x:c>
      <x:c r="I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">
      <x:c r="A7" s="36" t="str">
        <x:v>mediterranean_europe</x:v>
      </x:c>
      <x:c r="B7" s="30" t="str">
        <x:v>mediterranean-europe-broad-draft-1</x:v>
      </x:c>
      <x:c r="C7" s="30" t="n">
        <x:v>204113</x:v>
      </x:c>
      <x:c r="D7" s="32" t="str">
        <x:v>Red Deer</x:v>
      </x:c>
      <x:c r="E7" s="32" t="str">
        <x:v>Cervus elaphus</x:v>
      </x:c>
      <x:c r="F7" s="30" t="str">
        <x:v>common</x:v>
      </x:c>
      <x:c r="G7" s="30" t="str">
        <x:v>standard</x:v>
      </x:c>
      <x:c r="H7" s="30" t="str">
        <x:v>year-round</x:v>
      </x:c>
      <x:c r="I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">
      <x:c r="A8" s="36" t="str">
        <x:v>mediterranean_europe</x:v>
      </x:c>
      <x:c r="B8" s="30" t="str">
        <x:v>mediterranean-europe-broad-draft-1</x:v>
      </x:c>
      <x:c r="C8" s="30" t="n">
        <x:v>43042</x:v>
      </x:c>
      <x:c r="D8" s="32" t="str">
        <x:v>Common Hedgehog</x:v>
      </x:c>
      <x:c r="E8" s="32" t="str">
        <x:v>Erinaceus europaeus</x:v>
      </x:c>
      <x:c r="F8" s="30" t="str">
        <x:v>common</x:v>
      </x:c>
      <x:c r="G8" s="30" t="str">
        <x:v>standard</x:v>
      </x:c>
      <x:c r="H8" s="30" t="str">
        <x:v>year-round</x:v>
      </x:c>
      <x:c r="I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">
      <x:c r="A9" s="36" t="str">
        <x:v>mediterranean_europe</x:v>
      </x:c>
      <x:c r="B9" s="30" t="str">
        <x:v>mediterranean-europe-broad-draft-1</x:v>
      </x:c>
      <x:c r="C9" s="30" t="n">
        <x:v>855297</x:v>
      </x:c>
      <x:c r="D9" s="32" t="str">
        <x:v>European Badger</x:v>
      </x:c>
      <x:c r="E9" s="32" t="str">
        <x:v>Meles meles</x:v>
      </x:c>
      <x:c r="F9" s="30" t="str">
        <x:v>common</x:v>
      </x:c>
      <x:c r="G9" s="30" t="str">
        <x:v>standard</x:v>
      </x:c>
      <x:c r="H9" s="30" t="str">
        <x:v>year-round</x:v>
      </x:c>
      <x:c r="I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">
      <x:c r="A10" s="36" t="str">
        <x:v>mediterranean_europe</x:v>
      </x:c>
      <x:c r="B10" s="30" t="str">
        <x:v>mediterranean-europe-broad-draft-1</x:v>
      </x:c>
      <x:c r="C10" s="30" t="n">
        <x:v>43997</x:v>
      </x:c>
      <x:c r="D10" s="32" t="str">
        <x:v>Coypu</x:v>
      </x:c>
      <x:c r="E10" s="32" t="str">
        <x:v>Myocastor coypus</x:v>
      </x:c>
      <x:c r="F10" s="30" t="str">
        <x:v>common</x:v>
      </x:c>
      <x:c r="G10" s="30" t="str">
        <x:v>standard</x:v>
      </x:c>
      <x:c r="H10" s="30" t="str">
        <x:v>year-round</x:v>
      </x:c>
      <x:c r="I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">
      <x:c r="A11" s="36" t="str">
        <x:v>mediterranean_europe</x:v>
      </x:c>
      <x:c r="B11" s="30" t="str">
        <x:v>mediterranean-europe-broad-draft-1</x:v>
      </x:c>
      <x:c r="C11" s="30" t="n">
        <x:v>46082</x:v>
      </x:c>
      <x:c r="D11" s="32" t="str">
        <x:v>Alpine Marmot</x:v>
      </x:c>
      <x:c r="E11" s="32" t="str">
        <x:v>Marmota marmota</x:v>
      </x:c>
      <x:c r="F11" s="30" t="str">
        <x:v>common</x:v>
      </x:c>
      <x:c r="G11" s="30" t="str">
        <x:v>standard</x:v>
      </x:c>
      <x:c r="H11" s="30" t="str">
        <x:v>year-round</x:v>
      </x:c>
      <x:c r="I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">
      <x:c r="A12" s="36" t="str">
        <x:v>mediterranean_europe</x:v>
      </x:c>
      <x:c r="B12" s="30" t="str">
        <x:v>mediterranean-europe-broad-draft-1</x:v>
      </x:c>
      <x:c r="C12" s="30" t="n">
        <x:v>42347</x:v>
      </x:c>
      <x:c r="D12" s="32" t="str">
        <x:v>Northern Chamois</x:v>
      </x:c>
      <x:c r="E12" s="32" t="str">
        <x:v>Rupicapra rupicapra</x:v>
      </x:c>
      <x:c r="F12" s="30" t="str">
        <x:v>common</x:v>
      </x:c>
      <x:c r="G12" s="30" t="str">
        <x:v>standard</x:v>
      </x:c>
      <x:c r="H12" s="30" t="str">
        <x:v>year-round</x:v>
      </x:c>
      <x:c r="I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">
      <x:c r="A13" s="36" t="str">
        <x:v>mediterranean_europe</x:v>
      </x:c>
      <x:c r="B13" s="30" t="str">
        <x:v>mediterranean-europe-broad-draft-1</x:v>
      </x:c>
      <x:c r="C13" s="30" t="n">
        <x:v>41482</x:v>
      </x:c>
      <x:c r="D13" s="32" t="str">
        <x:v>Common Bottlenose Dolphin</x:v>
      </x:c>
      <x:c r="E13" s="32" t="str">
        <x:v>Tursiops truncatus</x:v>
      </x:c>
      <x:c r="F13" s="30" t="str">
        <x:v>common</x:v>
      </x:c>
      <x:c r="G13" s="30" t="str">
        <x:v>standard</x:v>
      </x:c>
      <x:c r="H13" s="30" t="str">
        <x:v>year-round</x:v>
      </x:c>
      <x:c r="I13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14">
      <x:c r="A14" s="36" t="str">
        <x:v>mediterranean_europe</x:v>
      </x:c>
      <x:c r="B14" s="30" t="str">
        <x:v>mediterranean-europe-broad-draft-1</x:v>
      </x:c>
      <x:c r="C14" s="30" t="n">
        <x:v>42161</x:v>
      </x:c>
      <x:c r="D14" s="32" t="str">
        <x:v>European Fallow Deer</x:v>
      </x:c>
      <x:c r="E14" s="32" t="str">
        <x:v>Dama dama</x:v>
      </x:c>
      <x:c r="F14" s="30" t="str">
        <x:v>common</x:v>
      </x:c>
      <x:c r="G14" s="30" t="str">
        <x:v>standard</x:v>
      </x:c>
      <x:c r="H14" s="30" t="str">
        <x:v>year-round</x:v>
      </x:c>
      <x:c r="I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">
      <x:c r="A15" s="36" t="str">
        <x:v>mediterranean_europe</x:v>
      </x:c>
      <x:c r="B15" s="30" t="str">
        <x:v>mediterranean-europe-broad-draft-1</x:v>
      </x:c>
      <x:c r="C15" s="30" t="n">
        <x:v>41850</x:v>
      </x:c>
      <x:c r="D15" s="32" t="str">
        <x:v>Eurasian Otter</x:v>
      </x:c>
      <x:c r="E15" s="32" t="str">
        <x:v>Lutra lutra</x:v>
      </x:c>
      <x:c r="F15" s="30" t="str">
        <x:v>common</x:v>
      </x:c>
      <x:c r="G15" s="30" t="str">
        <x:v>legendary</x:v>
      </x:c>
      <x:c r="H15" s="30" t="str">
        <x:v>year-round</x:v>
      </x:c>
      <x:c r="I15" s="37" t="str">
        <x:v>Owner-managed mediterranean_europe icon checklist; imported from mediterranean_europe_checklists.csv. Encounter rarity and prestige are curated game metadata. Automated rarity: inaturalist-regional-frequency-v1.</x:v>
      </x:c>
    </x:row>
    <x:row r="16">
      <x:c r="A16" s="36" t="str">
        <x:v>mediterranean_europe</x:v>
      </x:c>
      <x:c r="B16" s="30" t="str">
        <x:v>mediterranean-europe-broad-draft-1</x:v>
      </x:c>
      <x:c r="C16" s="30" t="n">
        <x:v>41800</x:v>
      </x:c>
      <x:c r="D16" s="32" t="str">
        <x:v>Stone Marten</x:v>
      </x:c>
      <x:c r="E16" s="32" t="str">
        <x:v>Martes foina</x:v>
      </x:c>
      <x:c r="F16" s="30" t="str">
        <x:v>common</x:v>
      </x:c>
      <x:c r="G16" s="30" t="str">
        <x:v>standard</x:v>
      </x:c>
      <x:c r="H16" s="30" t="str">
        <x:v>year-round</x:v>
      </x:c>
      <x:c r="I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">
      <x:c r="A17" s="36" t="str">
        <x:v>mediterranean_europe</x:v>
      </x:c>
      <x:c r="B17" s="30" t="str">
        <x:v>mediterranean-europe-broad-draft-1</x:v>
      </x:c>
      <x:c r="C17" s="30" t="n">
        <x:v>42357</x:v>
      </x:c>
      <x:c r="D17" s="32" t="str">
        <x:v>Alpine Ibex</x:v>
      </x:c>
      <x:c r="E17" s="32" t="str">
        <x:v>Capra ibex</x:v>
      </x:c>
      <x:c r="F17" s="30" t="str">
        <x:v>common</x:v>
      </x:c>
      <x:c r="G17" s="30" t="str">
        <x:v>standard</x:v>
      </x:c>
      <x:c r="H17" s="30" t="str">
        <x:v>year-round</x:v>
      </x:c>
      <x:c r="I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">
      <x:c r="A18" s="36" t="str">
        <x:v>mediterranean_europe</x:v>
      </x:c>
      <x:c r="B18" s="30" t="str">
        <x:v>mediterranean-europe-broad-draft-1</x:v>
      </x:c>
      <x:c r="C18" s="30" t="n">
        <x:v>43111</x:v>
      </x:c>
      <x:c r="D18" s="32" t="str">
        <x:v>Eastern Cottontail</x:v>
      </x:c>
      <x:c r="E18" s="32" t="str">
        <x:v>Sylvilagus floridanus</x:v>
      </x:c>
      <x:c r="F18" s="30" t="str">
        <x:v>common</x:v>
      </x:c>
      <x:c r="G18" s="30" t="str">
        <x:v>standard</x:v>
      </x:c>
      <x:c r="H18" s="30" t="str">
        <x:v>year-round</x:v>
      </x:c>
      <x:c r="I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">
      <x:c r="A19" s="36" t="str">
        <x:v>mediterranean_europe</x:v>
      </x:c>
      <x:c r="B19" s="30" t="str">
        <x:v>mediterranean-europe-broad-draft-1</x:v>
      </x:c>
      <x:c r="C19" s="30" t="n">
        <x:v>42048</x:v>
      </x:c>
      <x:c r="D19" s="32" t="str">
        <x:v>Gray Wolf</x:v>
      </x:c>
      <x:c r="E19" s="32" t="str">
        <x:v>Canis lupus</x:v>
      </x:c>
      <x:c r="F19" s="30" t="str">
        <x:v>common</x:v>
      </x:c>
      <x:c r="G19" s="30" t="str">
        <x:v>standard</x:v>
      </x:c>
      <x:c r="H19" s="30" t="str">
        <x:v>year-round</x:v>
      </x:c>
      <x:c r="I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">
      <x:c r="A20" s="36" t="str">
        <x:v>mediterranean_europe</x:v>
      </x:c>
      <x:c r="B20" s="30" t="str">
        <x:v>mediterranean-europe-broad-draft-1</x:v>
      </x:c>
      <x:c r="C20" s="30" t="n">
        <x:v>43128</x:v>
      </x:c>
      <x:c r="D20" s="32" t="str">
        <x:v>Brown Hare</x:v>
      </x:c>
      <x:c r="E20" s="32" t="str">
        <x:v>Lepus europaeus</x:v>
      </x:c>
      <x:c r="F20" s="30" t="str">
        <x:v>common</x:v>
      </x:c>
      <x:c r="G20" s="30" t="str">
        <x:v>standard</x:v>
      </x:c>
      <x:c r="H20" s="30" t="str">
        <x:v>year-round</x:v>
      </x:c>
      <x:c r="I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">
      <x:c r="A21" s="36" t="str">
        <x:v>mediterranean_europe</x:v>
      </x:c>
      <x:c r="B21" s="30" t="str">
        <x:v>mediterranean-europe-broad-draft-1</x:v>
      </x:c>
      <x:c r="C21" s="30" t="n">
        <x:v>44576</x:v>
      </x:c>
      <x:c r="D21" s="32" t="str">
        <x:v>Brown Rat</x:v>
      </x:c>
      <x:c r="E21" s="32" t="str">
        <x:v>Rattus norvegicus</x:v>
      </x:c>
      <x:c r="F21" s="30" t="str">
        <x:v>common</x:v>
      </x:c>
      <x:c r="G21" s="30" t="str">
        <x:v>standard</x:v>
      </x:c>
      <x:c r="H21" s="30" t="str">
        <x:v>year-round</x:v>
      </x:c>
      <x:c r="I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">
      <x:c r="A22" s="36" t="str">
        <x:v>mediterranean_europe</x:v>
      </x:c>
      <x:c r="B22" s="30" t="str">
        <x:v>mediterranean-europe-broad-draft-1</x:v>
      </x:c>
      <x:c r="C22" s="30" t="n">
        <x:v>42350</x:v>
      </x:c>
      <x:c r="D22" s="32" t="str">
        <x:v>Iberian Ibex</x:v>
      </x:c>
      <x:c r="E22" s="32" t="str">
        <x:v>Capra pyrenaica</x:v>
      </x:c>
      <x:c r="F22" s="30" t="str">
        <x:v>common</x:v>
      </x:c>
      <x:c r="G22" s="30" t="str">
        <x:v>standard</x:v>
      </x:c>
      <x:c r="H22" s="30" t="str">
        <x:v>year-round</x:v>
      </x:c>
      <x:c r="I22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23">
      <x:c r="A23" s="36" t="str">
        <x:v>mediterranean_europe</x:v>
      </x:c>
      <x:c r="B23" s="30" t="str">
        <x:v>mediterranean-europe-broad-draft-1</x:v>
      </x:c>
      <x:c r="C23" s="30" t="n">
        <x:v>46017</x:v>
      </x:c>
      <x:c r="D23" s="32" t="str">
        <x:v>Eastern Gray Squirrel</x:v>
      </x:c>
      <x:c r="E23" s="32" t="str">
        <x:v>Sciurus carolinensis</x:v>
      </x:c>
      <x:c r="F23" s="30" t="str">
        <x:v>common</x:v>
      </x:c>
      <x:c r="G23" s="30" t="str">
        <x:v>standard</x:v>
      </x:c>
      <x:c r="H23" s="30" t="str">
        <x:v>year-round</x:v>
      </x:c>
      <x:c r="I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">
      <x:c r="A24" s="36" t="str">
        <x:v>mediterranean_europe</x:v>
      </x:c>
      <x:c r="B24" s="30" t="str">
        <x:v>mediterranean-europe-broad-draft-1</x:v>
      </x:c>
      <x:c r="C24" s="30" t="n">
        <x:v>44171</x:v>
      </x:c>
      <x:c r="D24" s="32" t="str">
        <x:v>Crested Porcupine</x:v>
      </x:c>
      <x:c r="E24" s="32" t="str">
        <x:v>Hystrix cristata</x:v>
      </x:c>
      <x:c r="F24" s="30" t="str">
        <x:v>common</x:v>
      </x:c>
      <x:c r="G24" s="30" t="str">
        <x:v>standard</x:v>
      </x:c>
      <x:c r="H24" s="30" t="str">
        <x:v>year-round</x:v>
      </x:c>
      <x:c r="I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">
      <x:c r="A25" s="36" t="str">
        <x:v>mediterranean_europe</x:v>
      </x:c>
      <x:c r="B25" s="30" t="str">
        <x:v>mediterranean-europe-broad-draft-1</x:v>
      </x:c>
      <x:c r="C25" s="30" t="n">
        <x:v>44575</x:v>
      </x:c>
      <x:c r="D25" s="32" t="str">
        <x:v>Black Rat</x:v>
      </x:c>
      <x:c r="E25" s="32" t="str">
        <x:v>Rattus rattus</x:v>
      </x:c>
      <x:c r="F25" s="30" t="str">
        <x:v>common</x:v>
      </x:c>
      <x:c r="G25" s="30" t="str">
        <x:v>standard</x:v>
      </x:c>
      <x:c r="H25" s="30" t="str">
        <x:v>year-round</x:v>
      </x:c>
      <x:c r="I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">
      <x:c r="A26" s="36" t="str">
        <x:v>mediterranean_europe</x:v>
      </x:c>
      <x:c r="B26" s="30" t="str">
        <x:v>mediterranean-europe-broad-draft-1</x:v>
      </x:c>
      <x:c r="C26" s="30" t="n">
        <x:v>45562</x:v>
      </x:c>
      <x:c r="D26" s="32" t="str">
        <x:v>European Wood Mouse</x:v>
      </x:c>
      <x:c r="E26" s="32" t="str">
        <x:v>Apodemus sylvaticus</x:v>
      </x:c>
      <x:c r="F26" s="30" t="str">
        <x:v>common</x:v>
      </x:c>
      <x:c r="G26" s="30" t="str">
        <x:v>standard</x:v>
      </x:c>
      <x:c r="H26" s="30" t="str">
        <x:v>year-round</x:v>
      </x:c>
      <x:c r="I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">
      <x:c r="A27" s="36" t="str">
        <x:v>mediterranean_europe</x:v>
      </x:c>
      <x:c r="B27" s="30" t="str">
        <x:v>mediterranean-europe-broad-draft-1</x:v>
      </x:c>
      <x:c r="C27" s="30" t="n">
        <x:v>46640</x:v>
      </x:c>
      <x:c r="D27" s="32" t="str">
        <x:v>Greater White-toothed Shrew</x:v>
      </x:c>
      <x:c r="E27" s="32" t="str">
        <x:v>Crocidura russula</x:v>
      </x:c>
      <x:c r="F27" s="30" t="str">
        <x:v>common</x:v>
      </x:c>
      <x:c r="G27" s="30" t="str">
        <x:v>standard</x:v>
      </x:c>
      <x:c r="H27" s="30" t="str">
        <x:v>year-round</x:v>
      </x:c>
      <x:c r="I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">
      <x:c r="A28" s="36" t="str">
        <x:v>mediterranean_europe</x:v>
      </x:c>
      <x:c r="B28" s="30" t="str">
        <x:v>mediterranean-europe-broad-draft-1</x:v>
      </x:c>
      <x:c r="C28" s="30" t="n">
        <x:v>46970</x:v>
      </x:c>
      <x:c r="D28" s="32" t="str">
        <x:v>European Mole</x:v>
      </x:c>
      <x:c r="E28" s="32" t="str">
        <x:v>Talpa europaea</x:v>
      </x:c>
      <x:c r="F28" s="30" t="str">
        <x:v>common</x:v>
      </x:c>
      <x:c r="G28" s="30" t="str">
        <x:v>standard</x:v>
      </x:c>
      <x:c r="H28" s="30" t="str">
        <x:v>year-round</x:v>
      </x:c>
      <x:c r="I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">
      <x:c r="A29" s="36" t="str">
        <x:v>mediterranean_europe</x:v>
      </x:c>
      <x:c r="B29" s="30" t="str">
        <x:v>mediterranean-europe-broad-draft-1</x:v>
      </x:c>
      <x:c r="C29" s="30" t="n">
        <x:v>40695</x:v>
      </x:c>
      <x:c r="D29" s="32" t="str">
        <x:v>Lesser Horseshoe Bat</x:v>
      </x:c>
      <x:c r="E29" s="32" t="str">
        <x:v>Rhinolophus hipposideros</x:v>
      </x:c>
      <x:c r="F29" s="30" t="str">
        <x:v>common</x:v>
      </x:c>
      <x:c r="G29" s="30" t="str">
        <x:v>standard</x:v>
      </x:c>
      <x:c r="H29" s="30" t="str">
        <x:v>year-round</x:v>
      </x:c>
      <x:c r="I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">
      <x:c r="A30" s="36" t="str">
        <x:v>mediterranean_europe</x:v>
      </x:c>
      <x:c r="B30" s="30" t="str">
        <x:v>mediterranean-europe-broad-draft-1</x:v>
      </x:c>
      <x:c r="C30" s="30" t="n">
        <x:v>74383</x:v>
      </x:c>
      <x:c r="D30" s="32" t="str">
        <x:v>European Fat Dormouse</x:v>
      </x:c>
      <x:c r="E30" s="32" t="str">
        <x:v>Glis glis</x:v>
      </x:c>
      <x:c r="F30" s="30" t="str">
        <x:v>common</x:v>
      </x:c>
      <x:c r="G30" s="30" t="str">
        <x:v>standard</x:v>
      </x:c>
      <x:c r="H30" s="30" t="str">
        <x:v>year-round</x:v>
      </x:c>
      <x:c r="I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">
      <x:c r="A31" s="36" t="str">
        <x:v>mediterranean_europe</x:v>
      </x:c>
      <x:c r="B31" s="30" t="str">
        <x:v>mediterranean-europe-broad-draft-1</x:v>
      </x:c>
      <x:c r="C31" s="30" t="n">
        <x:v>43048</x:v>
      </x:c>
      <x:c r="D31" s="32" t="str">
        <x:v>Northern White-breasted Hedgehog</x:v>
      </x:c>
      <x:c r="E31" s="32" t="str">
        <x:v>Erinaceus roumanicus</x:v>
      </x:c>
      <x:c r="F31" s="30" t="str">
        <x:v>common</x:v>
      </x:c>
      <x:c r="G31" s="30" t="str">
        <x:v>standard</x:v>
      </x:c>
      <x:c r="H31" s="30" t="str">
        <x:v>year-round</x:v>
      </x:c>
      <x:c r="I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">
      <x:c r="A32" s="36" t="str">
        <x:v>mediterranean_europe</x:v>
      </x:c>
      <x:c r="B32" s="30" t="str">
        <x:v>mediterranean-europe-broad-draft-1</x:v>
      </x:c>
      <x:c r="C32" s="30" t="n">
        <x:v>46969</x:v>
      </x:c>
      <x:c r="D32" s="32" t="str">
        <x:v>Iberian mole</x:v>
      </x:c>
      <x:c r="E32" s="32" t="str">
        <x:v>Talpa occidentalis</x:v>
      </x:c>
      <x:c r="F32" s="30" t="str">
        <x:v>common</x:v>
      </x:c>
      <x:c r="G32" s="30" t="str">
        <x:v>standard</x:v>
      </x:c>
      <x:c r="H32" s="30" t="str">
        <x:v>year-round</x:v>
      </x:c>
      <x:c r="I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">
      <x:c r="A33" s="36" t="str">
        <x:v>mediterranean_europe</x:v>
      </x:c>
      <x:c r="B33" s="30" t="str">
        <x:v>mediterranean-europe-broad-draft-1</x:v>
      </x:c>
      <x:c r="C33" s="30" t="n">
        <x:v>925661</x:v>
      </x:c>
      <x:c r="D33" s="32" t="str">
        <x:v>Northern Small-spotted Genet</x:v>
      </x:c>
      <x:c r="E33" s="32" t="str">
        <x:v>Genetta genetta</x:v>
      </x:c>
      <x:c r="F33" s="30" t="str">
        <x:v>common</x:v>
      </x:c>
      <x:c r="G33" s="30" t="str">
        <x:v>standard</x:v>
      </x:c>
      <x:c r="H33" s="30" t="str">
        <x:v>year-round</x:v>
      </x:c>
      <x:c r="I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">
      <x:c r="A34" s="36" t="str">
        <x:v>mediterranean_europe</x:v>
      </x:c>
      <x:c r="B34" s="30" t="str">
        <x:v>mediterranean-europe-broad-draft-1</x:v>
      </x:c>
      <x:c r="C34" s="30" t="n">
        <x:v>41796</x:v>
      </x:c>
      <x:c r="D34" s="32" t="str">
        <x:v>Eurasian Pine Marten</x:v>
      </x:c>
      <x:c r="E34" s="32" t="str">
        <x:v>Martes martes</x:v>
      </x:c>
      <x:c r="F34" s="30" t="str">
        <x:v>common</x:v>
      </x:c>
      <x:c r="G34" s="30" t="str">
        <x:v>standard</x:v>
      </x:c>
      <x:c r="H34" s="30" t="str">
        <x:v>year-round</x:v>
      </x:c>
      <x:c r="I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">
      <x:c r="A35" s="36" t="str">
        <x:v>mediterranean_europe</x:v>
      </x:c>
      <x:c r="B35" s="30" t="str">
        <x:v>mediterranean-europe-broad-draft-1</x:v>
      </x:c>
      <x:c r="C35" s="30" t="n">
        <x:v>44705</x:v>
      </x:c>
      <x:c r="D35" s="32" t="str">
        <x:v>House Mouse</x:v>
      </x:c>
      <x:c r="E35" s="32" t="str">
        <x:v>Mus musculus</x:v>
      </x:c>
      <x:c r="F35" s="30" t="str">
        <x:v>common</x:v>
      </x:c>
      <x:c r="G35" s="30" t="str">
        <x:v>standard</x:v>
      </x:c>
      <x:c r="H35" s="30" t="str">
        <x:v>year-round</x:v>
      </x:c>
      <x:c r="I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">
      <x:c r="A36" s="36" t="str">
        <x:v>mediterranean_europe</x:v>
      </x:c>
      <x:c r="B36" s="30" t="str">
        <x:v>mediterranean-europe-broad-draft-1</x:v>
      </x:c>
      <x:c r="C36" s="30" t="n">
        <x:v>41526</x:v>
      </x:c>
      <x:c r="D36" s="32" t="str">
        <x:v>Common Dolphin</x:v>
      </x:c>
      <x:c r="E36" s="32" t="str">
        <x:v>Delphinus delphis</x:v>
      </x:c>
      <x:c r="F36" s="30" t="str">
        <x:v>common</x:v>
      </x:c>
      <x:c r="G36" s="30" t="str">
        <x:v>standard</x:v>
      </x:c>
      <x:c r="H36" s="30" t="str">
        <x:v>year-round</x:v>
      </x:c>
      <x:c r="I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">
      <x:c r="A37" s="36" t="str">
        <x:v>mediterranean_europe</x:v>
      </x:c>
      <x:c r="B37" s="30" t="str">
        <x:v>mediterranean-europe-broad-draft-1</x:v>
      </x:c>
      <x:c r="C37" s="30" t="n">
        <x:v>40645</x:v>
      </x:c>
      <x:c r="D37" s="32" t="str">
        <x:v>Greater Horseshoe Bat</x:v>
      </x:c>
      <x:c r="E37" s="32" t="str">
        <x:v>Rhinolophus ferrumequinum</x:v>
      </x:c>
      <x:c r="F37" s="30" t="str">
        <x:v>common</x:v>
      </x:c>
      <x:c r="G37" s="30" t="str">
        <x:v>standard</x:v>
      </x:c>
      <x:c r="H37" s="30" t="str">
        <x:v>year-round</x:v>
      </x:c>
      <x:c r="I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">
      <x:c r="A38" s="36" t="str">
        <x:v>mediterranean_europe</x:v>
      </x:c>
      <x:c r="B38" s="30" t="str">
        <x:v>mediterranean-europe-broad-draft-1</x:v>
      </x:c>
      <x:c r="C38" s="30" t="n">
        <x:v>43119</x:v>
      </x:c>
      <x:c r="D38" s="32" t="str">
        <x:v>Granada Hare</x:v>
      </x:c>
      <x:c r="E38" s="32" t="str">
        <x:v>Lepus granatensis</x:v>
      </x:c>
      <x:c r="F38" s="30" t="str">
        <x:v>common</x:v>
      </x:c>
      <x:c r="G38" s="30" t="str">
        <x:v>standard</x:v>
      </x:c>
      <x:c r="H38" s="30" t="str">
        <x:v>year-round</x:v>
      </x:c>
      <x:c r="I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">
      <x:c r="A39" s="36" t="str">
        <x:v>mediterranean_europe</x:v>
      </x:c>
      <x:c r="B39" s="30" t="str">
        <x:v>mediterranean-europe-broad-draft-1</x:v>
      </x:c>
      <x:c r="C39" s="30" t="n">
        <x:v>46241</x:v>
      </x:c>
      <x:c r="D39" s="32" t="str">
        <x:v>Barbary Ground Squirrel</x:v>
      </x:c>
      <x:c r="E39" s="32" t="str">
        <x:v>Atlantoxerus getulus</x:v>
      </x:c>
      <x:c r="F39" s="30" t="str">
        <x:v>common</x:v>
      </x:c>
      <x:c r="G39" s="30" t="str">
        <x:v>standard</x:v>
      </x:c>
      <x:c r="H39" s="30" t="str">
        <x:v>year-round</x:v>
      </x:c>
      <x:c r="I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">
      <x:c r="A40" s="36" t="str">
        <x:v>mediterranean_europe</x:v>
      </x:c>
      <x:c r="B40" s="30" t="str">
        <x:v>mediterranean-europe-broad-draft-1</x:v>
      </x:c>
      <x:c r="C40" s="30" t="n">
        <x:v>41975</x:v>
      </x:c>
      <x:c r="D40" s="32" t="str">
        <x:v>Iberian Lynx</x:v>
      </x:c>
      <x:c r="E40" s="32" t="str">
        <x:v>Lynx pardinus</x:v>
      </x:c>
      <x:c r="F40" s="30" t="str">
        <x:v>common</x:v>
      </x:c>
      <x:c r="G40" s="30" t="str">
        <x:v>legendary</x:v>
      </x:c>
      <x:c r="H40" s="30" t="str">
        <x:v>year-round</x:v>
      </x:c>
      <x:c r="I40" s="37" t="str">
        <x:v>Owner-managed mediterranean_europe icon checklist; imported from mediterranean_europe_checklists.csv. Encounter rarity and prestige are curated game metadata. Automated rarity: inaturalist-regional-frequency-v1.</x:v>
      </x:c>
    </x:row>
    <x:row r="41">
      <x:c r="A41" s="36" t="str">
        <x:v>mediterranean_europe</x:v>
      </x:c>
      <x:c r="B41" s="30" t="str">
        <x:v>mediterranean-europe-broad-draft-1</x:v>
      </x:c>
      <x:c r="C41" s="30" t="n">
        <x:v>43793</x:v>
      </x:c>
      <x:c r="D41" s="32" t="str">
        <x:v>Eurasian Beaver</x:v>
      </x:c>
      <x:c r="E41" s="32" t="str">
        <x:v>Castor fiber</x:v>
      </x:c>
      <x:c r="F41" s="30" t="str">
        <x:v>common</x:v>
      </x:c>
      <x:c r="G41" s="30" t="str">
        <x:v>standard</x:v>
      </x:c>
      <x:c r="H41" s="30" t="str">
        <x:v>year-round</x:v>
      </x:c>
      <x:c r="I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">
      <x:c r="A42" s="36" t="str">
        <x:v>mediterranean_europe</x:v>
      </x:c>
      <x:c r="B42" s="30" t="str">
        <x:v>mediterranean-europe-broad-draft-1</x:v>
      </x:c>
      <x:c r="C42" s="30" t="n">
        <x:v>569428</x:v>
      </x:c>
      <x:c r="D42" s="32" t="str">
        <x:v>Least Weasel</x:v>
      </x:c>
      <x:c r="E42" s="32" t="str">
        <x:v>Mustela nivalis</x:v>
      </x:c>
      <x:c r="F42" s="30" t="str">
        <x:v>common</x:v>
      </x:c>
      <x:c r="G42" s="30" t="str">
        <x:v>standard</x:v>
      </x:c>
      <x:c r="H42" s="30" t="str">
        <x:v>year-round</x:v>
      </x:c>
      <x:c r="I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">
      <x:c r="A43" s="36" t="str">
        <x:v>mediterranean_europe</x:v>
      </x:c>
      <x:c r="B43" s="30" t="str">
        <x:v>mediterranean-europe-broad-draft-1</x:v>
      </x:c>
      <x:c r="C43" s="30" t="n">
        <x:v>41503</x:v>
      </x:c>
      <x:c r="D43" s="32" t="str">
        <x:v>Atlantic Spotted Dolphin</x:v>
      </x:c>
      <x:c r="E43" s="32" t="str">
        <x:v>Stenella frontalis</x:v>
      </x:c>
      <x:c r="F43" s="30" t="str">
        <x:v>common</x:v>
      </x:c>
      <x:c r="G43" s="30" t="str">
        <x:v>standard</x:v>
      </x:c>
      <x:c r="H43" s="30" t="str">
        <x:v>year-round</x:v>
      </x:c>
      <x:c r="I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">
      <x:c r="A44" s="36" t="str">
        <x:v>mediterranean_europe</x:v>
      </x:c>
      <x:c r="B44" s="30" t="str">
        <x:v>mediterranean-europe-broad-draft-1</x:v>
      </x:c>
      <x:c r="C44" s="30" t="n">
        <x:v>40364</x:v>
      </x:c>
      <x:c r="D44" s="32" t="str">
        <x:v>Common Pipistrelle</x:v>
      </x:c>
      <x:c r="E44" s="32" t="str">
        <x:v>Pipistrellus pipistrellus</x:v>
      </x:c>
      <x:c r="F44" s="30" t="str">
        <x:v>common</x:v>
      </x:c>
      <x:c r="G44" s="30" t="str">
        <x:v>standard</x:v>
      </x:c>
      <x:c r="H44" s="30" t="str">
        <x:v>year-round</x:v>
      </x:c>
      <x:c r="I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">
      <x:c r="A45" s="36" t="str">
        <x:v>mediterranean_europe</x:v>
      </x:c>
      <x:c r="B45" s="30" t="str">
        <x:v>mediterranean-europe-broad-draft-1</x:v>
      </x:c>
      <x:c r="C45" s="30" t="n">
        <x:v>41900</x:v>
      </x:c>
      <x:c r="D45" s="32" t="str">
        <x:v>Egyptian Mongoose</x:v>
      </x:c>
      <x:c r="E45" s="32" t="str">
        <x:v>Herpestes ichneumon</x:v>
      </x:c>
      <x:c r="F45" s="30" t="str">
        <x:v>common</x:v>
      </x:c>
      <x:c r="G45" s="30" t="str">
        <x:v>standard</x:v>
      </x:c>
      <x:c r="H45" s="30" t="str">
        <x:v>year-round</x:v>
      </x:c>
      <x:c r="I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">
      <x:c r="A46" s="36" t="str">
        <x:v>mediterranean_europe</x:v>
      </x:c>
      <x:c r="B46" s="30" t="str">
        <x:v>mediterranean-europe-broad-draft-1</x:v>
      </x:c>
      <x:c r="C46" s="30" t="n">
        <x:v>41532</x:v>
      </x:c>
      <x:c r="D46" s="32" t="str">
        <x:v>Short-finned Pilot Whale</x:v>
      </x:c>
      <x:c r="E46" s="32" t="str">
        <x:v>Globicephala macrorhynchus</x:v>
      </x:c>
      <x:c r="F46" s="30" t="str">
        <x:v>common</x:v>
      </x:c>
      <x:c r="G46" s="30" t="str">
        <x:v>standard</x:v>
      </x:c>
      <x:c r="H46" s="30" t="str">
        <x:v>year-round</x:v>
      </x:c>
      <x:c r="I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">
      <x:c r="A47" s="36" t="str">
        <x:v>mediterranean_europe</x:v>
      </x:c>
      <x:c r="B47" s="30" t="str">
        <x:v>mediterranean-europe-broad-draft-1</x:v>
      </x:c>
      <x:c r="C47" s="30" t="n">
        <x:v>765528</x:v>
      </x:c>
      <x:c r="D47" s="32" t="str">
        <x:v>Savi's Pipistrelle</x:v>
      </x:c>
      <x:c r="E47" s="32" t="str">
        <x:v>Hypsugo savii</x:v>
      </x:c>
      <x:c r="F47" s="30" t="str">
        <x:v>common</x:v>
      </x:c>
      <x:c r="G47" s="30" t="str">
        <x:v>standard</x:v>
      </x:c>
      <x:c r="H47" s="30" t="str">
        <x:v>year-round</x:v>
      </x:c>
      <x:c r="I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">
      <x:c r="A48" s="36" t="str">
        <x:v>mediterranean_europe</x:v>
      </x:c>
      <x:c r="B48" s="30" t="str">
        <x:v>mediterranean-europe-broad-draft-1</x:v>
      </x:c>
      <x:c r="C48" s="30" t="n">
        <x:v>43059</x:v>
      </x:c>
      <x:c r="D48" s="32" t="str">
        <x:v>North African Hedgehog</x:v>
      </x:c>
      <x:c r="E48" s="32" t="str">
        <x:v>Atelerix algirus</x:v>
      </x:c>
      <x:c r="F48" s="30" t="str">
        <x:v>common</x:v>
      </x:c>
      <x:c r="G48" s="30" t="str">
        <x:v>standard</x:v>
      </x:c>
      <x:c r="H48" s="30" t="str">
        <x:v>year-round</x:v>
      </x:c>
      <x:c r="I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">
      <x:c r="A49" s="36" t="str">
        <x:v>mediterranean_europe</x:v>
      </x:c>
      <x:c r="B49" s="30" t="str">
        <x:v>mediterranean-europe-broad-draft-1</x:v>
      </x:c>
      <x:c r="C49" s="30" t="n">
        <x:v>852333</x:v>
      </x:c>
      <x:c r="D49" s="32" t="str">
        <x:v>Pygmy White-toothed Shrew</x:v>
      </x:c>
      <x:c r="E49" s="32" t="str">
        <x:v>Suncus etruscus</x:v>
      </x:c>
      <x:c r="F49" s="30" t="str">
        <x:v>common</x:v>
      </x:c>
      <x:c r="G49" s="30" t="str">
        <x:v>standard</x:v>
      </x:c>
      <x:c r="H49" s="30" t="str">
        <x:v>year-round</x:v>
      </x:c>
      <x:c r="I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">
      <x:c r="A50" s="36" t="str">
        <x:v>mediterranean_europe</x:v>
      </x:c>
      <x:c r="B50" s="30" t="str">
        <x:v>mediterranean-europe-broad-draft-1</x:v>
      </x:c>
      <x:c r="C50" s="30" t="n">
        <x:v>1264432</x:v>
      </x:c>
      <x:c r="D50" s="32" t="str">
        <x:v>American Mink</x:v>
      </x:c>
      <x:c r="E50" s="32" t="str">
        <x:v>Neogale vison</x:v>
      </x:c>
      <x:c r="F50" s="30" t="str">
        <x:v>common</x:v>
      </x:c>
      <x:c r="G50" s="30" t="str">
        <x:v>standard</x:v>
      </x:c>
      <x:c r="H50" s="30" t="str">
        <x:v>year-round</x:v>
      </x:c>
      <x:c r="I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">
      <x:c r="A51" s="36" t="str">
        <x:v>mediterranean_europe</x:v>
      </x:c>
      <x:c r="B51" s="30" t="str">
        <x:v>mediterranean-europe-broad-draft-1</x:v>
      </x:c>
      <x:c r="C51" s="30" t="n">
        <x:v>45863</x:v>
      </x:c>
      <x:c r="D51" s="32" t="str">
        <x:v>European Garden Dormouse</x:v>
      </x:c>
      <x:c r="E51" s="32" t="str">
        <x:v>Eliomys quercinus</x:v>
      </x:c>
      <x:c r="F51" s="30" t="str">
        <x:v>common</x:v>
      </x:c>
      <x:c r="G51" s="30" t="str">
        <x:v>standard</x:v>
      </x:c>
      <x:c r="H51" s="30" t="str">
        <x:v>year-round</x:v>
      </x:c>
      <x:c r="I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">
      <x:c r="A52" s="36" t="str">
        <x:v>mediterranean_europe</x:v>
      </x:c>
      <x:c r="B52" s="30" t="str">
        <x:v>mediterranean-europe-broad-draft-1</x:v>
      </x:c>
      <x:c r="C52" s="30" t="n">
        <x:v>922459</x:v>
      </x:c>
      <x:c r="D52" s="32" t="str">
        <x:v>European Wildcat</x:v>
      </x:c>
      <x:c r="E52" s="32" t="str">
        <x:v>Felis silvestris</x:v>
      </x:c>
      <x:c r="F52" s="30" t="str">
        <x:v>common</x:v>
      </x:c>
      <x:c r="G52" s="30" t="str">
        <x:v>standard</x:v>
      </x:c>
      <x:c r="H52" s="30" t="str">
        <x:v>year-round</x:v>
      </x:c>
      <x:c r="I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">
      <x:c r="A53" s="36" t="str">
        <x:v>mediterranean_europe</x:v>
      </x:c>
      <x:c r="B53" s="30" t="str">
        <x:v>mediterranean-europe-broad-draft-1</x:v>
      </x:c>
      <x:c r="C53" s="30" t="n">
        <x:v>40383</x:v>
      </x:c>
      <x:c r="D53" s="32" t="str">
        <x:v>Kuhl's pipistrelle</x:v>
      </x:c>
      <x:c r="E53" s="32" t="str">
        <x:v>Pipistrellus kuhlii</x:v>
      </x:c>
      <x:c r="F53" s="30" t="str">
        <x:v>common</x:v>
      </x:c>
      <x:c r="G53" s="30" t="str">
        <x:v>standard</x:v>
      </x:c>
      <x:c r="H53" s="30" t="str">
        <x:v>year-round</x:v>
      </x:c>
      <x:c r="I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">
      <x:c r="A54" s="36" t="str">
        <x:v>mediterranean_europe</x:v>
      </x:c>
      <x:c r="B54" s="30" t="str">
        <x:v>mediterranean-europe-broad-draft-1</x:v>
      </x:c>
      <x:c r="C54" s="30" t="n">
        <x:v>41812</x:v>
      </x:c>
      <x:c r="D54" s="32" t="str">
        <x:v>Western Polecat</x:v>
      </x:c>
      <x:c r="E54" s="32" t="str">
        <x:v>Mustela putorius</x:v>
      </x:c>
      <x:c r="F54" s="30" t="str">
        <x:v>common</x:v>
      </x:c>
      <x:c r="G54" s="30" t="str">
        <x:v>standard</x:v>
      </x:c>
      <x:c r="H54" s="30" t="str">
        <x:v>year-round</x:v>
      </x:c>
      <x:c r="I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">
      <x:c r="A55" s="36" t="str">
        <x:v>mediterranean_europe</x:v>
      </x:c>
      <x:c r="B55" s="30" t="str">
        <x:v>mediterranean-europe-broad-draft-1</x:v>
      </x:c>
      <x:c r="C55" s="30" t="n">
        <x:v>45856</x:v>
      </x:c>
      <x:c r="D55" s="32" t="str">
        <x:v>Hazel Dormouse</x:v>
      </x:c>
      <x:c r="E55" s="32" t="str">
        <x:v>Muscardinus avellanarius</x:v>
      </x:c>
      <x:c r="F55" s="30" t="str">
        <x:v>common</x:v>
      </x:c>
      <x:c r="G55" s="30" t="str">
        <x:v>standard</x:v>
      </x:c>
      <x:c r="H55" s="30" t="str">
        <x:v>year-round</x:v>
      </x:c>
      <x:c r="I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">
      <x:c r="A56" s="36" t="str">
        <x:v>mediterranean_europe</x:v>
      </x:c>
      <x:c r="B56" s="30" t="str">
        <x:v>mediterranean-europe-broad-draft-1</x:v>
      </x:c>
      <x:c r="C56" s="30" t="n">
        <x:v>41641</x:v>
      </x:c>
      <x:c r="D56" s="32" t="str">
        <x:v>Brown Bear</x:v>
      </x:c>
      <x:c r="E56" s="32" t="str">
        <x:v>Ursus arctos</x:v>
      </x:c>
      <x:c r="F56" s="30" t="str">
        <x:v>common</x:v>
      </x:c>
      <x:c r="G56" s="30" t="str">
        <x:v>standard</x:v>
      </x:c>
      <x:c r="H56" s="30" t="str">
        <x:v>year-round</x:v>
      </x:c>
      <x:c r="I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">
      <x:c r="A57" s="36" t="str">
        <x:v>mediterranean_europe</x:v>
      </x:c>
      <x:c r="B57" s="30" t="str">
        <x:v>mediterranean-europe-broad-draft-1</x:v>
      </x:c>
      <x:c r="C57" s="30" t="n">
        <x:v>74890</x:v>
      </x:c>
      <x:c r="D57" s="32" t="str">
        <x:v>Sperm Whale</x:v>
      </x:c>
      <x:c r="E57" s="32" t="str">
        <x:v>Physeter macrocephalus</x:v>
      </x:c>
      <x:c r="F57" s="30" t="str">
        <x:v>common</x:v>
      </x:c>
      <x:c r="G57" s="30" t="str">
        <x:v>standard</x:v>
      </x:c>
      <x:c r="H57" s="30" t="str">
        <x:v>year-round</x:v>
      </x:c>
      <x:c r="I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">
      <x:c r="A58" s="36" t="str">
        <x:v>mediterranean_europe</x:v>
      </x:c>
      <x:c r="B58" s="30" t="str">
        <x:v>mediterranean-europe-broad-draft-1</x:v>
      </x:c>
      <x:c r="C58" s="30" t="n">
        <x:v>57534</x:v>
      </x:c>
      <x:c r="D58" s="32" t="str">
        <x:v>Schreibers' Long-fingered Bat</x:v>
      </x:c>
      <x:c r="E58" s="32" t="str">
        <x:v>Miniopterus schreibersii</x:v>
      </x:c>
      <x:c r="F58" s="30" t="str">
        <x:v>common</x:v>
      </x:c>
      <x:c r="G58" s="30" t="str">
        <x:v>standard</x:v>
      </x:c>
      <x:c r="H58" s="30" t="str">
        <x:v>year-round</x:v>
      </x:c>
      <x:c r="I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">
      <x:c r="A59" s="36" t="str">
        <x:v>mediterranean_europe</x:v>
      </x:c>
      <x:c r="B59" s="30" t="str">
        <x:v>mediterranean-europe-broad-draft-1</x:v>
      </x:c>
      <x:c r="C59" s="30" t="n">
        <x:v>1431273</x:v>
      </x:c>
      <x:c r="D59" s="32" t="str">
        <x:v>Bank Vole</x:v>
      </x:c>
      <x:c r="E59" s="32" t="str">
        <x:v>Clethrionomys glareolus</x:v>
      </x:c>
      <x:c r="F59" s="30" t="str">
        <x:v>common</x:v>
      </x:c>
      <x:c r="G59" s="30" t="str">
        <x:v>standard</x:v>
      </x:c>
      <x:c r="H59" s="30" t="str">
        <x:v>year-round</x:v>
      </x:c>
      <x:c r="I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">
      <x:c r="A60" s="36" t="str">
        <x:v>mediterranean_europe</x:v>
      </x:c>
      <x:c r="B60" s="30" t="str">
        <x:v>mediterranean-europe-broad-draft-1</x:v>
      </x:c>
      <x:c r="C60" s="30" t="n">
        <x:v>40281</x:v>
      </x:c>
      <x:c r="D60" s="32" t="str">
        <x:v>Geoffroy's Bat</x:v>
      </x:c>
      <x:c r="E60" s="32" t="str">
        <x:v>Myotis emarginatus</x:v>
      </x:c>
      <x:c r="F60" s="30" t="str">
        <x:v>common</x:v>
      </x:c>
      <x:c r="G60" s="30" t="str">
        <x:v>standard</x:v>
      </x:c>
      <x:c r="H60" s="30" t="str">
        <x:v>year-round</x:v>
      </x:c>
      <x:c r="I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">
      <x:c r="A61" s="36" t="str">
        <x:v>mediterranean_europe</x:v>
      </x:c>
      <x:c r="B61" s="30" t="str">
        <x:v>mediterranean-europe-broad-draft-1</x:v>
      </x:c>
      <x:c r="C61" s="30" t="n">
        <x:v>41298</x:v>
      </x:c>
      <x:c r="D61" s="32" t="str">
        <x:v>European Free-tailed Bat</x:v>
      </x:c>
      <x:c r="E61" s="32" t="str">
        <x:v>Tadarida teniotis</x:v>
      </x:c>
      <x:c r="F61" s="30" t="str">
        <x:v>common</x:v>
      </x:c>
      <x:c r="G61" s="30" t="str">
        <x:v>standard</x:v>
      </x:c>
      <x:c r="H61" s="30" t="str">
        <x:v>year-round</x:v>
      </x:c>
      <x:c r="I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">
      <x:c r="A62" s="36" t="str">
        <x:v>mediterranean_europe</x:v>
      </x:c>
      <x:c r="B62" s="30" t="str">
        <x:v>mediterranean-europe-broad-draft-1</x:v>
      </x:c>
      <x:c r="C62" s="30" t="n">
        <x:v>55908</x:v>
      </x:c>
      <x:c r="D62" s="32" t="str">
        <x:v>Mountain Hare</x:v>
      </x:c>
      <x:c r="E62" s="32" t="str">
        <x:v>Lepus timidus</x:v>
      </x:c>
      <x:c r="F62" s="30" t="str">
        <x:v>common</x:v>
      </x:c>
      <x:c r="G62" s="30" t="str">
        <x:v>standard</x:v>
      </x:c>
      <x:c r="H62" s="30" t="str">
        <x:v>year-round</x:v>
      </x:c>
      <x:c r="I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">
      <x:c r="A63" s="36" t="str">
        <x:v>mediterranean_europe</x:v>
      </x:c>
      <x:c r="B63" s="30" t="str">
        <x:v>mediterranean-europe-broad-draft-1</x:v>
      </x:c>
      <x:c r="C63" s="30" t="n">
        <x:v>40574</x:v>
      </x:c>
      <x:c r="D63" s="32" t="str">
        <x:v>Azores Noctule</x:v>
      </x:c>
      <x:c r="E63" s="32" t="str">
        <x:v>Nyctalus azoreum</x:v>
      </x:c>
      <x:c r="F63" s="30" t="str">
        <x:v>common</x:v>
      </x:c>
      <x:c r="G63" s="30" t="str">
        <x:v>standard</x:v>
      </x:c>
      <x:c r="H63" s="30" t="str">
        <x:v>year-round</x:v>
      </x:c>
      <x:c r="I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">
      <x:c r="A64" s="36" t="str">
        <x:v>mediterranean_europe</x:v>
      </x:c>
      <x:c r="B64" s="30" t="str">
        <x:v>mediterranean-europe-broad-draft-1</x:v>
      </x:c>
      <x:c r="C64" s="30" t="n">
        <x:v>424254</x:v>
      </x:c>
      <x:c r="D64" s="32" t="str">
        <x:v>Daubenton's bat</x:v>
      </x:c>
      <x:c r="E64" s="32" t="str">
        <x:v>Myotis daubentonii</x:v>
      </x:c>
      <x:c r="F64" s="30" t="str">
        <x:v>common</x:v>
      </x:c>
      <x:c r="G64" s="30" t="str">
        <x:v>standard</x:v>
      </x:c>
      <x:c r="H64" s="30" t="str">
        <x:v>year-round</x:v>
      </x:c>
      <x:c r="I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">
      <x:c r="A65" s="36" t="str">
        <x:v>mediterranean_europe</x:v>
      </x:c>
      <x:c r="B65" s="30" t="str">
        <x:v>mediterranean-europe-broad-draft-1</x:v>
      </x:c>
      <x:c r="C65" s="30" t="n">
        <x:v>41716</x:v>
      </x:c>
      <x:c r="D65" s="32" t="str">
        <x:v>Mediterranean Monk Seal</x:v>
      </x:c>
      <x:c r="E65" s="32" t="str">
        <x:v>Monachus monachus</x:v>
      </x:c>
      <x:c r="F65" s="30" t="str">
        <x:v>common</x:v>
      </x:c>
      <x:c r="G65" s="30" t="str">
        <x:v>legendary</x:v>
      </x:c>
      <x:c r="H65" s="30" t="str">
        <x:v>year-round</x:v>
      </x:c>
      <x:c r="I65" s="37" t="str">
        <x:v>Owner-managed mediterranean_europe icon checklist; imported from mediterranean_europe_checklists.csv. Encounter rarity and prestige are curated game metadata. Automated rarity: inaturalist-regional-frequency-v1.</x:v>
      </x:c>
    </x:row>
    <x:row r="66">
      <x:c r="A66" s="36" t="str">
        <x:v>mediterranean_europe</x:v>
      </x:c>
      <x:c r="B66" s="30" t="str">
        <x:v>mediterranean-europe-broad-draft-1</x:v>
      </x:c>
      <x:c r="C66" s="30" t="n">
        <x:v>40415</x:v>
      </x:c>
      <x:c r="D66" s="32" t="str">
        <x:v>Grey Long-eared Bat</x:v>
      </x:c>
      <x:c r="E66" s="32" t="str">
        <x:v>Plecotus austriacus</x:v>
      </x:c>
      <x:c r="F66" s="30" t="str">
        <x:v>common</x:v>
      </x:c>
      <x:c r="G66" s="30" t="str">
        <x:v>standard</x:v>
      </x:c>
      <x:c r="H66" s="30" t="str">
        <x:v>year-round</x:v>
      </x:c>
      <x:c r="I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">
      <x:c r="A67" s="36" t="str">
        <x:v>mediterranean_europe</x:v>
      </x:c>
      <x:c r="B67" s="30" t="str">
        <x:v>mediterranean-europe-broad-draft-1</x:v>
      </x:c>
      <x:c r="C67" s="30" t="n">
        <x:v>45748</x:v>
      </x:c>
      <x:c r="D67" s="32" t="str">
        <x:v>Southwestern Water Vole</x:v>
      </x:c>
      <x:c r="E67" s="32" t="str">
        <x:v>Arvicola sapidus</x:v>
      </x:c>
      <x:c r="F67" s="30" t="str">
        <x:v>common</x:v>
      </x:c>
      <x:c r="G67" s="30" t="str">
        <x:v>standard</x:v>
      </x:c>
      <x:c r="H67" s="30" t="str">
        <x:v>year-round</x:v>
      </x:c>
      <x:c r="I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">
      <x:c r="A68" s="36" t="str">
        <x:v>mediterranean_europe</x:v>
      </x:c>
      <x:c r="B68" s="30" t="str">
        <x:v>mediterranean-europe-broad-draft-1</x:v>
      </x:c>
      <x:c r="C68" s="30" t="n">
        <x:v>46471</x:v>
      </x:c>
      <x:c r="D68" s="32" t="str">
        <x:v>Eurasian Pygmy Shrew</x:v>
      </x:c>
      <x:c r="E68" s="32" t="str">
        <x:v>Sorex minutus</x:v>
      </x:c>
      <x:c r="F68" s="30" t="str">
        <x:v>common</x:v>
      </x:c>
      <x:c r="G68" s="30" t="str">
        <x:v>standard</x:v>
      </x:c>
      <x:c r="H68" s="30" t="str">
        <x:v>year-round</x:v>
      </x:c>
      <x:c r="I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">
      <x:c r="A69" s="36" t="str">
        <x:v>mediterranean_europe</x:v>
      </x:c>
      <x:c r="B69" s="30" t="str">
        <x:v>mediterranean-europe-broad-draft-1</x:v>
      </x:c>
      <x:c r="C69" s="30" t="n">
        <x:v>41494</x:v>
      </x:c>
      <x:c r="D69" s="32" t="str">
        <x:v>Striped Dolphin</x:v>
      </x:c>
      <x:c r="E69" s="32" t="str">
        <x:v>Stenella coeruleoalba</x:v>
      </x:c>
      <x:c r="F69" s="30" t="str">
        <x:v>common</x:v>
      </x:c>
      <x:c r="G69" s="30" t="str">
        <x:v>standard</x:v>
      </x:c>
      <x:c r="H69" s="30" t="str">
        <x:v>year-round</x:v>
      </x:c>
      <x:c r="I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">
      <x:c r="A70" s="36" t="str">
        <x:v>mediterranean_europe</x:v>
      </x:c>
      <x:c r="B70" s="30" t="str">
        <x:v>mediterranean-europe-broad-draft-1</x:v>
      </x:c>
      <x:c r="C70" s="30" t="n">
        <x:v>44280</x:v>
      </x:c>
      <x:c r="D70" s="32" t="str">
        <x:v>Common Vole</x:v>
      </x:c>
      <x:c r="E70" s="32" t="str">
        <x:v>Microtus arvalis</x:v>
      </x:c>
      <x:c r="F70" s="30" t="str">
        <x:v>common</x:v>
      </x:c>
      <x:c r="G70" s="30" t="str">
        <x:v>standard</x:v>
      </x:c>
      <x:c r="H70" s="30" t="str">
        <x:v>year-round</x:v>
      </x:c>
      <x:c r="I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">
      <x:c r="A71" s="36" t="str">
        <x:v>mediterranean_europe</x:v>
      </x:c>
      <x:c r="B71" s="30" t="str">
        <x:v>mediterranean-europe-broad-draft-1</x:v>
      </x:c>
      <x:c r="C71" s="30" t="n">
        <x:v>41541</x:v>
      </x:c>
      <x:c r="D71" s="32" t="str">
        <x:v>Risso's Dolphin</x:v>
      </x:c>
      <x:c r="E71" s="32" t="str">
        <x:v>Grampus griseus</x:v>
      </x:c>
      <x:c r="F71" s="30" t="str">
        <x:v>common</x:v>
      </x:c>
      <x:c r="G71" s="30" t="str">
        <x:v>standard</x:v>
      </x:c>
      <x:c r="H71" s="30" t="str">
        <x:v>year-round</x:v>
      </x:c>
      <x:c r="I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">
      <x:c r="A72" s="36" t="str">
        <x:v>mediterranean_europe</x:v>
      </x:c>
      <x:c r="B72" s="30" t="str">
        <x:v>mediterranean-europe-broad-draft-1</x:v>
      </x:c>
      <x:c r="C72" s="30" t="n">
        <x:v>41808</x:v>
      </x:c>
      <x:c r="D72" s="32" t="str">
        <x:v>Eurasian Stoat</x:v>
      </x:c>
      <x:c r="E72" s="32" t="str">
        <x:v>Mustela erminea</x:v>
      </x:c>
      <x:c r="F72" s="30" t="str">
        <x:v>common</x:v>
      </x:c>
      <x:c r="G72" s="30" t="str">
        <x:v>standard</x:v>
      </x:c>
      <x:c r="H72" s="30" t="str">
        <x:v>year-round</x:v>
      </x:c>
      <x:c r="I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">
      <x:c r="A73" s="36" t="str">
        <x:v>mediterranean_europe</x:v>
      </x:c>
      <x:c r="B73" s="30" t="str">
        <x:v>mediterranean-europe-broad-draft-1</x:v>
      </x:c>
      <x:c r="C73" s="30" t="n">
        <x:v>1655578</x:v>
      </x:c>
      <x:c r="D73" s="32" t="str">
        <x:v>South European White-toothed Shrew</x:v>
      </x:c>
      <x:c r="E73" s="32" t="str">
        <x:v>Crocidura fimbriata</x:v>
      </x:c>
      <x:c r="F73" s="30" t="str">
        <x:v>common</x:v>
      </x:c>
      <x:c r="G73" s="30" t="str">
        <x:v>standard</x:v>
      </x:c>
      <x:c r="H73" s="30" t="str">
        <x:v>year-round</x:v>
      </x:c>
      <x:c r="I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">
      <x:c r="A74" s="36" t="str">
        <x:v>mediterranean_europe</x:v>
      </x:c>
      <x:c r="B74" s="30" t="str">
        <x:v>mediterranean-europe-broad-draft-1</x:v>
      </x:c>
      <x:c r="C74" s="30" t="n">
        <x:v>42346</x:v>
      </x:c>
      <x:c r="D74" s="32" t="str">
        <x:v>Pyrenean Chamois</x:v>
      </x:c>
      <x:c r="E74" s="32" t="str">
        <x:v>Rupicapra pyrenaica</x:v>
      </x:c>
      <x:c r="F74" s="30" t="str">
        <x:v>uncommon</x:v>
      </x:c>
      <x:c r="G74" s="30" t="str">
        <x:v>standard</x:v>
      </x:c>
      <x:c r="H74" s="30" t="str">
        <x:v>year-round</x:v>
      </x:c>
      <x:c r="I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">
      <x:c r="A75" s="36" t="str">
        <x:v>mediterranean_europe</x:v>
      </x:c>
      <x:c r="B75" s="30" t="str">
        <x:v>mediterranean-europe-broad-draft-1</x:v>
      </x:c>
      <x:c r="C75" s="30" t="n">
        <x:v>40573</x:v>
      </x:c>
      <x:c r="D75" s="32" t="str">
        <x:v>Lesser Noctule</x:v>
      </x:c>
      <x:c r="E75" s="32" t="str">
        <x:v>Nyctalus leisleri</x:v>
      </x:c>
      <x:c r="F75" s="30" t="str">
        <x:v>uncommon</x:v>
      </x:c>
      <x:c r="G75" s="30" t="str">
        <x:v>standard</x:v>
      </x:c>
      <x:c r="H75" s="30" t="str">
        <x:v>year-round</x:v>
      </x:c>
      <x:c r="I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">
      <x:c r="A76" s="36" t="str">
        <x:v>mediterranean_europe</x:v>
      </x:c>
      <x:c r="B76" s="30" t="str">
        <x:v>mediterranean-europe-broad-draft-1</x:v>
      </x:c>
      <x:c r="C76" s="30" t="n">
        <x:v>1596127</x:v>
      </x:c>
      <x:c r="D76" s="32" t="str">
        <x:v>Eurasian Serotine</x:v>
      </x:c>
      <x:c r="E76" s="32" t="str">
        <x:v>Cnephaeus serotinus</x:v>
      </x:c>
      <x:c r="F76" s="30" t="str">
        <x:v>uncommon</x:v>
      </x:c>
      <x:c r="G76" s="30" t="str">
        <x:v>standard</x:v>
      </x:c>
      <x:c r="H76" s="30" t="str">
        <x:v>year-round</x:v>
      </x:c>
      <x:c r="I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">
      <x:c r="A77" s="36" t="str">
        <x:v>mediterranean_europe</x:v>
      </x:c>
      <x:c r="B77" s="30" t="str">
        <x:v>mediterranean-europe-broad-draft-1</x:v>
      </x:c>
      <x:c r="C77" s="30" t="n">
        <x:v>46663</x:v>
      </x:c>
      <x:c r="D77" s="32" t="str">
        <x:v>Bicoloured Shrew</x:v>
      </x:c>
      <x:c r="E77" s="32" t="str">
        <x:v>Crocidura leucodon</x:v>
      </x:c>
      <x:c r="F77" s="30" t="str">
        <x:v>uncommon</x:v>
      </x:c>
      <x:c r="G77" s="30" t="str">
        <x:v>standard</x:v>
      </x:c>
      <x:c r="H77" s="30" t="str">
        <x:v>year-round</x:v>
      </x:c>
      <x:c r="I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">
      <x:c r="A78" s="36" t="str">
        <x:v>mediterranean_europe</x:v>
      </x:c>
      <x:c r="B78" s="30" t="str">
        <x:v>mediterranean-europe-broad-draft-1</x:v>
      </x:c>
      <x:c r="C78" s="30" t="n">
        <x:v>533979</x:v>
      </x:c>
      <x:c r="D78" s="32" t="str">
        <x:v>Calabrian Black Squirrel</x:v>
      </x:c>
      <x:c r="E78" s="32" t="str">
        <x:v>Sciurus meridionalis</x:v>
      </x:c>
      <x:c r="F78" s="30" t="str">
        <x:v>uncommon</x:v>
      </x:c>
      <x:c r="G78" s="30" t="str">
        <x:v>standard</x:v>
      </x:c>
      <x:c r="H78" s="30" t="str">
        <x:v>year-round</x:v>
      </x:c>
      <x:c r="I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">
      <x:c r="A79" s="36" t="str">
        <x:v>mediterranean_europe</x:v>
      </x:c>
      <x:c r="B79" s="30" t="str">
        <x:v>mediterranean-europe-broad-draft-1</x:v>
      </x:c>
      <x:c r="C79" s="30" t="n">
        <x:v>74908</x:v>
      </x:c>
      <x:c r="D79" s="32" t="str">
        <x:v>Soprano Pipistrelle</x:v>
      </x:c>
      <x:c r="E79" s="32" t="str">
        <x:v>Pipistrellus pygmaeus</x:v>
      </x:c>
      <x:c r="F79" s="30" t="str">
        <x:v>uncommon</x:v>
      </x:c>
      <x:c r="G79" s="30" t="str">
        <x:v>standard</x:v>
      </x:c>
      <x:c r="H79" s="30" t="str">
        <x:v>year-round</x:v>
      </x:c>
      <x:c r="I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0">
      <x:c r="A80" s="36" t="str">
        <x:v>mediterranean_europe</x:v>
      </x:c>
      <x:c r="B80" s="30" t="str">
        <x:v>mediterranean-europe-broad-draft-1</x:v>
      </x:c>
      <x:c r="C80" s="30" t="n">
        <x:v>851014</x:v>
      </x:c>
      <x:c r="D80" s="32" t="str">
        <x:v>Golden Jackal</x:v>
      </x:c>
      <x:c r="E80" s="32" t="str">
        <x:v>Canis aureus</x:v>
      </x:c>
      <x:c r="F80" s="30" t="str">
        <x:v>uncommon</x:v>
      </x:c>
      <x:c r="G80" s="30" t="str">
        <x:v>standard</x:v>
      </x:c>
      <x:c r="H80" s="30" t="str">
        <x:v>year-round</x:v>
      </x:c>
      <x:c r="I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">
      <x:c r="A81" s="36" t="str">
        <x:v>mediterranean_europe</x:v>
      </x:c>
      <x:c r="B81" s="30" t="str">
        <x:v>mediterranean-europe-broad-draft-1</x:v>
      </x:c>
      <x:c r="C81" s="30" t="n">
        <x:v>44688</x:v>
      </x:c>
      <x:c r="D81" s="32" t="str">
        <x:v>Algerian Mouse</x:v>
      </x:c>
      <x:c r="E81" s="32" t="str">
        <x:v>Mus spretus</x:v>
      </x:c>
      <x:c r="F81" s="30" t="str">
        <x:v>uncommon</x:v>
      </x:c>
      <x:c r="G81" s="30" t="str">
        <x:v>standard</x:v>
      </x:c>
      <x:c r="H81" s="30" t="str">
        <x:v>year-round</x:v>
      </x:c>
      <x:c r="I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">
      <x:c r="A82" s="36" t="str">
        <x:v>mediterranean_europe</x:v>
      </x:c>
      <x:c r="B82" s="30" t="str">
        <x:v>mediterranean-europe-broad-draft-1</x:v>
      </x:c>
      <x:c r="C82" s="30" t="n">
        <x:v>40677</x:v>
      </x:c>
      <x:c r="D82" s="32" t="str">
        <x:v>Mediterranean horseshoe bat</x:v>
      </x:c>
      <x:c r="E82" s="32" t="str">
        <x:v>Rhinolophus euryale</x:v>
      </x:c>
      <x:c r="F82" s="30" t="str">
        <x:v>uncommon</x:v>
      </x:c>
      <x:c r="G82" s="30" t="str">
        <x:v>standard</x:v>
      </x:c>
      <x:c r="H82" s="30" t="str">
        <x:v>year-round</x:v>
      </x:c>
      <x:c r="I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">
      <x:c r="A83" s="36" t="str">
        <x:v>mediterranean_europe</x:v>
      </x:c>
      <x:c r="B83" s="30" t="str">
        <x:v>mediterranean-europe-broad-draft-1</x:v>
      </x:c>
      <x:c r="C83" s="30" t="n">
        <x:v>46412</x:v>
      </x:c>
      <x:c r="D83" s="32" t="str">
        <x:v>Alpine Shrew</x:v>
      </x:c>
      <x:c r="E83" s="32" t="str">
        <x:v>Sorex alpinus</x:v>
      </x:c>
      <x:c r="F83" s="30" t="str">
        <x:v>uncommon</x:v>
      </x:c>
      <x:c r="G83" s="30" t="str">
        <x:v>standard</x:v>
      </x:c>
      <x:c r="H83" s="30" t="str">
        <x:v>year-round</x:v>
      </x:c>
      <x:c r="I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">
      <x:c r="A84" s="36" t="str">
        <x:v>mediterranean_europe</x:v>
      </x:c>
      <x:c r="B84" s="30" t="str">
        <x:v>mediterranean-europe-broad-draft-1</x:v>
      </x:c>
      <x:c r="C84" s="30" t="n">
        <x:v>40416</x:v>
      </x:c>
      <x:c r="D84" s="32" t="str">
        <x:v>Brown Long-eared Bat</x:v>
      </x:c>
      <x:c r="E84" s="32" t="str">
        <x:v>Plecotus auritus</x:v>
      </x:c>
      <x:c r="F84" s="30" t="str">
        <x:v>uncommon</x:v>
      </x:c>
      <x:c r="G84" s="30" t="str">
        <x:v>standard</x:v>
      </x:c>
      <x:c r="H84" s="30" t="str">
        <x:v>year-round</x:v>
      </x:c>
      <x:c r="I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">
      <x:c r="A85" s="36" t="str">
        <x:v>mediterranean_europe</x:v>
      </x:c>
      <x:c r="B85" s="30" t="str">
        <x:v>mediterranean-europe-broad-draft-1</x:v>
      </x:c>
      <x:c r="C85" s="30" t="n">
        <x:v>42422</x:v>
      </x:c>
      <x:c r="D85" s="32" t="str">
        <x:v>Aoudad</x:v>
      </x:c>
      <x:c r="E85" s="32" t="str">
        <x:v>Ammotragus lervia</x:v>
      </x:c>
      <x:c r="F85" s="30" t="str">
        <x:v>uncommon</x:v>
      </x:c>
      <x:c r="G85" s="30" t="str">
        <x:v>standard</x:v>
      </x:c>
      <x:c r="H85" s="30" t="str">
        <x:v>year-round</x:v>
      </x:c>
      <x:c r="I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">
      <x:c r="A86" s="36" t="str">
        <x:v>mediterranean_europe</x:v>
      </x:c>
      <x:c r="B86" s="30" t="str">
        <x:v>mediterranean-europe-broad-draft-1</x:v>
      </x:c>
      <x:c r="C86" s="30" t="n">
        <x:v>40581</x:v>
      </x:c>
      <x:c r="D86" s="32" t="str">
        <x:v>Western Barbastelle</x:v>
      </x:c>
      <x:c r="E86" s="32" t="str">
        <x:v>Barbastella barbastellus</x:v>
      </x:c>
      <x:c r="F86" s="30" t="str">
        <x:v>uncommon</x:v>
      </x:c>
      <x:c r="G86" s="30" t="str">
        <x:v>standard</x:v>
      </x:c>
      <x:c r="H86" s="30" t="str">
        <x:v>year-round</x:v>
      </x:c>
      <x:c r="I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">
      <x:c r="A87" s="36" t="str">
        <x:v>mediterranean_europe</x:v>
      </x:c>
      <x:c r="B87" s="30" t="str">
        <x:v>mediterranean-europe-broad-draft-1</x:v>
      </x:c>
      <x:c r="C87" s="30" t="n">
        <x:v>43024</x:v>
      </x:c>
      <x:c r="D87" s="32" t="str">
        <x:v>Long-eared Hedgehog</x:v>
      </x:c>
      <x:c r="E87" s="32" t="str">
        <x:v>Hemiechinus auritus</x:v>
      </x:c>
      <x:c r="F87" s="30" t="str">
        <x:v>uncommon</x:v>
      </x:c>
      <x:c r="G87" s="30" t="str">
        <x:v>standard</x:v>
      </x:c>
      <x:c r="H87" s="30" t="str">
        <x:v>year-round</x:v>
      </x:c>
      <x:c r="I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">
      <x:c r="A88" s="36" t="str">
        <x:v>mediterranean_europe</x:v>
      </x:c>
      <x:c r="B88" s="30" t="str">
        <x:v>mediterranean-europe-broad-draft-1</x:v>
      </x:c>
      <x:c r="C88" s="30" t="n">
        <x:v>41562</x:v>
      </x:c>
      <x:c r="D88" s="32" t="str">
        <x:v>Fin Whale</x:v>
      </x:c>
      <x:c r="E88" s="32" t="str">
        <x:v>Balaenoptera physalus</x:v>
      </x:c>
      <x:c r="F88" s="30" t="str">
        <x:v>uncommon</x:v>
      </x:c>
      <x:c r="G88" s="30" t="str">
        <x:v>standard</x:v>
      </x:c>
      <x:c r="H88" s="30" t="str">
        <x:v>year-round</x:v>
      </x:c>
      <x:c r="I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">
      <x:c r="A89" s="36" t="str">
        <x:v>mediterranean_europe</x:v>
      </x:c>
      <x:c r="B89" s="30" t="str">
        <x:v>mediterranean-europe-broad-draft-1</x:v>
      </x:c>
      <x:c r="C89" s="30" t="n">
        <x:v>46367</x:v>
      </x:c>
      <x:c r="D89" s="32" t="str">
        <x:v>Valais Shrew</x:v>
      </x:c>
      <x:c r="E89" s="32" t="str">
        <x:v>Sorex antinorii</x:v>
      </x:c>
      <x:c r="F89" s="30" t="str">
        <x:v>uncommon</x:v>
      </x:c>
      <x:c r="G89" s="30" t="str">
        <x:v>standard</x:v>
      </x:c>
      <x:c r="H89" s="30" t="str">
        <x:v>year-round</x:v>
      </x:c>
      <x:c r="I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">
      <x:c r="A90" s="36" t="str">
        <x:v>mediterranean_europe</x:v>
      </x:c>
      <x:c r="B90" s="30" t="str">
        <x:v>mediterranean-europe-broad-draft-1</x:v>
      </x:c>
      <x:c r="C90" s="30" t="n">
        <x:v>44276</x:v>
      </x:c>
      <x:c r="D90" s="32" t="str">
        <x:v>Mediterranean Pine Vole</x:v>
      </x:c>
      <x:c r="E90" s="32" t="str">
        <x:v>Microtus duodecimcostatus</x:v>
      </x:c>
      <x:c r="F90" s="30" t="str">
        <x:v>uncommon</x:v>
      </x:c>
      <x:c r="G90" s="30" t="str">
        <x:v>standard</x:v>
      </x:c>
      <x:c r="H90" s="30" t="str">
        <x:v>year-round</x:v>
      </x:c>
      <x:c r="I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">
      <x:c r="A91" s="36" t="str">
        <x:v>mediterranean_europe</x:v>
      </x:c>
      <x:c r="B91" s="30" t="str">
        <x:v>mediterranean-europe-broad-draft-1</x:v>
      </x:c>
      <x:c r="C91" s="30" t="n">
        <x:v>44282</x:v>
      </x:c>
      <x:c r="D91" s="32" t="str">
        <x:v>Field Vole</x:v>
      </x:c>
      <x:c r="E91" s="32" t="str">
        <x:v>Microtus agrestis</x:v>
      </x:c>
      <x:c r="F91" s="30" t="str">
        <x:v>uncommon</x:v>
      </x:c>
      <x:c r="G91" s="30" t="str">
        <x:v>standard</x:v>
      </x:c>
      <x:c r="H91" s="30" t="str">
        <x:v>year-round</x:v>
      </x:c>
      <x:c r="I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">
      <x:c r="A92" s="36" t="str">
        <x:v>mediterranean_europe</x:v>
      </x:c>
      <x:c r="B92" s="30" t="str">
        <x:v>mediterranean-europe-broad-draft-1</x:v>
      </x:c>
      <x:c r="C92" s="30" t="n">
        <x:v>41440</x:v>
      </x:c>
      <x:c r="D92" s="32" t="str">
        <x:v>Harbour Porpoise</x:v>
      </x:c>
      <x:c r="E92" s="32" t="str">
        <x:v>Phocoena phocoena</x:v>
      </x:c>
      <x:c r="F92" s="30" t="str">
        <x:v>uncommon</x:v>
      </x:c>
      <x:c r="G92" s="30" t="str">
        <x:v>standard</x:v>
      </x:c>
      <x:c r="H92" s="30" t="str">
        <x:v>year-round</x:v>
      </x:c>
      <x:c r="I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">
      <x:c r="A93" s="36" t="str">
        <x:v>mediterranean_europe</x:v>
      </x:c>
      <x:c r="B93" s="30" t="str">
        <x:v>mediterranean-europe-broad-draft-1</x:v>
      </x:c>
      <x:c r="C93" s="30" t="n">
        <x:v>1453916</x:v>
      </x:c>
      <x:c r="D93" s="32" t="str">
        <x:v>Bryde's Whale</x:v>
      </x:c>
      <x:c r="E93" s="32" t="str">
        <x:v>Balaenoptera brydei</x:v>
      </x:c>
      <x:c r="F93" s="30" t="str">
        <x:v>uncommon</x:v>
      </x:c>
      <x:c r="G93" s="30" t="str">
        <x:v>standard</x:v>
      </x:c>
      <x:c r="H93" s="30" t="str">
        <x:v>year-round</x:v>
      </x:c>
      <x:c r="I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">
      <x:c r="A94" s="36" t="str">
        <x:v>mediterranean_europe</x:v>
      </x:c>
      <x:c r="B94" s="30" t="str">
        <x:v>mediterranean-europe-broad-draft-1</x:v>
      </x:c>
      <x:c r="C94" s="30" t="n">
        <x:v>46414</x:v>
      </x:c>
      <x:c r="D94" s="32" t="str">
        <x:v>Common Shrew</x:v>
      </x:c>
      <x:c r="E94" s="32" t="str">
        <x:v>Sorex araneus</x:v>
      </x:c>
      <x:c r="F94" s="30" t="str">
        <x:v>uncommon</x:v>
      </x:c>
      <x:c r="G94" s="30" t="str">
        <x:v>standard</x:v>
      </x:c>
      <x:c r="H94" s="30" t="str">
        <x:v>year-round</x:v>
      </x:c>
      <x:c r="I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">
      <x:c r="A95" s="36" t="str">
        <x:v>mediterranean_europe</x:v>
      </x:c>
      <x:c r="B95" s="30" t="str">
        <x:v>mediterranean-europe-broad-draft-1</x:v>
      </x:c>
      <x:c r="C95" s="30" t="n">
        <x:v>40291</x:v>
      </x:c>
      <x:c r="D95" s="32" t="str">
        <x:v>Mouse-eared Bat</x:v>
      </x:c>
      <x:c r="E95" s="32" t="str">
        <x:v>Myotis myotis</x:v>
      </x:c>
      <x:c r="F95" s="30" t="str">
        <x:v>uncommon</x:v>
      </x:c>
      <x:c r="G95" s="30" t="str">
        <x:v>standard</x:v>
      </x:c>
      <x:c r="H95" s="30" t="str">
        <x:v>year-round</x:v>
      </x:c>
      <x:c r="I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">
      <x:c r="A96" s="36" t="str">
        <x:v>mediterranean_europe</x:v>
      </x:c>
      <x:c r="B96" s="30" t="str">
        <x:v>mediterranean-europe-broad-draft-1</x:v>
      </x:c>
      <x:c r="C96" s="30" t="n">
        <x:v>44302</x:v>
      </x:c>
      <x:c r="D96" s="32" t="str">
        <x:v>Lusitanian pine vole</x:v>
      </x:c>
      <x:c r="E96" s="32" t="str">
        <x:v>Microtus lusitanicus</x:v>
      </x:c>
      <x:c r="F96" s="30" t="str">
        <x:v>uncommon</x:v>
      </x:c>
      <x:c r="G96" s="30" t="str">
        <x:v>standard</x:v>
      </x:c>
      <x:c r="H96" s="30" t="str">
        <x:v>year-round</x:v>
      </x:c>
      <x:c r="I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">
      <x:c r="A97" s="36" t="str">
        <x:v>mediterranean_europe</x:v>
      </x:c>
      <x:c r="B97" s="30" t="str">
        <x:v>mediterranean-europe-broad-draft-1</x:v>
      </x:c>
      <x:c r="C97" s="30" t="n">
        <x:v>45550</x:v>
      </x:c>
      <x:c r="D97" s="32" t="str">
        <x:v>Yellow-necked Field Mouse</x:v>
      </x:c>
      <x:c r="E97" s="32" t="str">
        <x:v>Apodemus flavicollis</x:v>
      </x:c>
      <x:c r="F97" s="30" t="str">
        <x:v>uncommon</x:v>
      </x:c>
      <x:c r="G97" s="30" t="str">
        <x:v>standard</x:v>
      </x:c>
      <x:c r="H97" s="30" t="str">
        <x:v>year-round</x:v>
      </x:c>
      <x:c r="I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">
      <x:c r="A98" s="36" t="str">
        <x:v>mediterranean_europe</x:v>
      </x:c>
      <x:c r="B98" s="30" t="str">
        <x:v>mediterranean-europe-broad-draft-1</x:v>
      </x:c>
      <x:c r="C98" s="30" t="n">
        <x:v>45949</x:v>
      </x:c>
      <x:c r="D98" s="32" t="str">
        <x:v>Finlayson's Squirrel</x:v>
      </x:c>
      <x:c r="E98" s="32" t="str">
        <x:v>Callosciurus finlaysonii</x:v>
      </x:c>
      <x:c r="F98" s="30" t="str">
        <x:v>uncommon</x:v>
      </x:c>
      <x:c r="G98" s="30" t="str">
        <x:v>standard</x:v>
      </x:c>
      <x:c r="H98" s="30" t="str">
        <x:v>year-round</x:v>
      </x:c>
      <x:c r="I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">
      <x:c r="A99" s="36" t="str">
        <x:v>mediterranean_europe</x:v>
      </x:c>
      <x:c r="B99" s="30" t="str">
        <x:v>mediterranean-europe-broad-draft-1</x:v>
      </x:c>
      <x:c r="C99" s="30" t="n">
        <x:v>1370753</x:v>
      </x:c>
      <x:c r="D99" s="32" t="str">
        <x:v>Aquitanian mole</x:v>
      </x:c>
      <x:c r="E99" s="32" t="str">
        <x:v>Talpa aquitania</x:v>
      </x:c>
      <x:c r="F99" s="30" t="str">
        <x:v>uncommon</x:v>
      </x:c>
      <x:c r="G99" s="30" t="str">
        <x:v>standard</x:v>
      </x:c>
      <x:c r="H99" s="30" t="str">
        <x:v>year-round</x:v>
      </x:c>
      <x:c r="I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">
      <x:c r="A100" s="36" t="str">
        <x:v>mediterranean_europe</x:v>
      </x:c>
      <x:c r="B100" s="30" t="str">
        <x:v>mediterranean-europe-broad-draft-1</x:v>
      </x:c>
      <x:c r="C100" s="30" t="n">
        <x:v>40391</x:v>
      </x:c>
      <x:c r="D100" s="32" t="str">
        <x:v>Nathusius' Pipistrelle</x:v>
      </x:c>
      <x:c r="E100" s="32" t="str">
        <x:v>Pipistrellus nathusii</x:v>
      </x:c>
      <x:c r="F100" s="30" t="str">
        <x:v>uncommon</x:v>
      </x:c>
      <x:c r="G100" s="30" t="str">
        <x:v>standard</x:v>
      </x:c>
      <x:c r="H100" s="30" t="str">
        <x:v>year-round</x:v>
      </x:c>
      <x:c r="I1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">
      <x:c r="A101" s="36" t="str">
        <x:v>mediterranean_europe</x:v>
      </x:c>
      <x:c r="B101" s="30" t="str">
        <x:v>mediterranean-europe-broad-draft-1</x:v>
      </x:c>
      <x:c r="C101" s="30" t="n">
        <x:v>46015</x:v>
      </x:c>
      <x:c r="D101" s="32" t="str">
        <x:v>Caucasian Squirrel</x:v>
      </x:c>
      <x:c r="E101" s="32" t="str">
        <x:v>Sciurus anomalus</x:v>
      </x:c>
      <x:c r="F101" s="30" t="str">
        <x:v>uncommon</x:v>
      </x:c>
      <x:c r="G101" s="30" t="str">
        <x:v>standard</x:v>
      </x:c>
      <x:c r="H101" s="30" t="str">
        <x:v>year-round</x:v>
      </x:c>
      <x:c r="I1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">
      <x:c r="A102" s="36" t="str">
        <x:v>mediterranean_europe</x:v>
      </x:c>
      <x:c r="B102" s="30" t="str">
        <x:v>mediterranean-europe-broad-draft-1</x:v>
      </x:c>
      <x:c r="C102" s="30" t="n">
        <x:v>45568</x:v>
      </x:c>
      <x:c r="D102" s="32" t="str">
        <x:v>Striped Field Mouse</x:v>
      </x:c>
      <x:c r="E102" s="32" t="str">
        <x:v>Apodemus agrarius</x:v>
      </x:c>
      <x:c r="F102" s="30" t="str">
        <x:v>uncommon</x:v>
      </x:c>
      <x:c r="G102" s="30" t="str">
        <x:v>standard</x:v>
      </x:c>
      <x:c r="H102" s="30" t="str">
        <x:v>year-round</x:v>
      </x:c>
      <x:c r="I1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">
      <x:c r="A103" s="36" t="str">
        <x:v>mediterranean_europe</x:v>
      </x:c>
      <x:c r="B103" s="30" t="str">
        <x:v>mediterranean-europe-broad-draft-1</x:v>
      </x:c>
      <x:c r="C103" s="30" t="n">
        <x:v>45459</x:v>
      </x:c>
      <x:c r="D103" s="32" t="str">
        <x:v>European Snow Vole</x:v>
      </x:c>
      <x:c r="E103" s="32" t="str">
        <x:v>Chionomys nivalis</x:v>
      </x:c>
      <x:c r="F103" s="30" t="str">
        <x:v>uncommon</x:v>
      </x:c>
      <x:c r="G103" s="30" t="str">
        <x:v>standard</x:v>
      </x:c>
      <x:c r="H103" s="30" t="str">
        <x:v>year-round</x:v>
      </x:c>
      <x:c r="I1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">
      <x:c r="A104" s="36" t="str">
        <x:v>mediterranean_europe</x:v>
      </x:c>
      <x:c r="B104" s="30" t="str">
        <x:v>mediterranean-europe-broad-draft-1</x:v>
      </x:c>
      <x:c r="C104" s="30" t="n">
        <x:v>41529</x:v>
      </x:c>
      <x:c r="D104" s="32" t="str">
        <x:v>Long-finned Pilot Whale</x:v>
      </x:c>
      <x:c r="E104" s="32" t="str">
        <x:v>Globicephala melas</x:v>
      </x:c>
      <x:c r="F104" s="30" t="str">
        <x:v>rare</x:v>
      </x:c>
      <x:c r="G104" s="30" t="str">
        <x:v>standard</x:v>
      </x:c>
      <x:c r="H104" s="30" t="str">
        <x:v>year-round</x:v>
      </x:c>
      <x:c r="I1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">
      <x:c r="A105" s="36" t="str">
        <x:v>mediterranean_europe</x:v>
      </x:c>
      <x:c r="B105" s="30" t="str">
        <x:v>mediterranean-europe-broad-draft-1</x:v>
      </x:c>
      <x:c r="C105" s="30" t="n">
        <x:v>41559</x:v>
      </x:c>
      <x:c r="D105" s="32" t="str">
        <x:v>Sei Whale</x:v>
      </x:c>
      <x:c r="E105" s="32" t="str">
        <x:v>Balaenoptera borealis</x:v>
      </x:c>
      <x:c r="F105" s="30" t="str">
        <x:v>rare</x:v>
      </x:c>
      <x:c r="G105" s="30" t="str">
        <x:v>standard</x:v>
      </x:c>
      <x:c r="H105" s="30" t="str">
        <x:v>year-round</x:v>
      </x:c>
      <x:c r="I1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">
      <x:c r="A106" s="36" t="str">
        <x:v>mediterranean_europe</x:v>
      </x:c>
      <x:c r="B106" s="30" t="str">
        <x:v>mediterranean-europe-broad-draft-1</x:v>
      </x:c>
      <x:c r="C106" s="30" t="n">
        <x:v>43118</x:v>
      </x:c>
      <x:c r="D106" s="32" t="str">
        <x:v>Broom Hare</x:v>
      </x:c>
      <x:c r="E106" s="32" t="str">
        <x:v>Lepus castroviejoi</x:v>
      </x:c>
      <x:c r="F106" s="30" t="str">
        <x:v>rare</x:v>
      </x:c>
      <x:c r="G106" s="30" t="str">
        <x:v>standard</x:v>
      </x:c>
      <x:c r="H106" s="30" t="str">
        <x:v>year-round</x:v>
      </x:c>
      <x:c r="I1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">
      <x:c r="A107" s="36" t="str">
        <x:v>mediterranean_europe</x:v>
      </x:c>
      <x:c r="B107" s="30" t="str">
        <x:v>mediterranean-europe-broad-draft-1</x:v>
      </x:c>
      <x:c r="C107" s="30" t="n">
        <x:v>1177489</x:v>
      </x:c>
      <x:c r="D107" s="32" t="str">
        <x:v>Italian Water Vole</x:v>
      </x:c>
      <x:c r="E107" s="32" t="str">
        <x:v>Arvicola italicus</x:v>
      </x:c>
      <x:c r="F107" s="30" t="str">
        <x:v>rare</x:v>
      </x:c>
      <x:c r="G107" s="30" t="str">
        <x:v>standard</x:v>
      </x:c>
      <x:c r="H107" s="30" t="str">
        <x:v>year-round</x:v>
      </x:c>
      <x:c r="I1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">
      <x:c r="A108" s="36" t="str">
        <x:v>mediterranean_europe</x:v>
      </x:c>
      <x:c r="B108" s="30" t="str">
        <x:v>mediterranean-europe-broad-draft-1</x:v>
      </x:c>
      <x:c r="C108" s="30" t="n">
        <x:v>40317</x:v>
      </x:c>
      <x:c r="D108" s="32" t="str">
        <x:v>Lesser mouse-eared bat</x:v>
      </x:c>
      <x:c r="E108" s="32" t="str">
        <x:v>Myotis blythii</x:v>
      </x:c>
      <x:c r="F108" s="30" t="str">
        <x:v>rare</x:v>
      </x:c>
      <x:c r="G108" s="30" t="str">
        <x:v>standard</x:v>
      </x:c>
      <x:c r="H108" s="30" t="str">
        <x:v>year-round</x:v>
      </x:c>
      <x:c r="I1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">
      <x:c r="A109" s="36" t="str">
        <x:v>mediterranean_europe</x:v>
      </x:c>
      <x:c r="B109" s="30" t="str">
        <x:v>mediterranean-europe-broad-draft-1</x:v>
      </x:c>
      <x:c r="C109" s="30" t="n">
        <x:v>46859</x:v>
      </x:c>
      <x:c r="D109" s="32" t="str">
        <x:v>Eurasian Water Shrew</x:v>
      </x:c>
      <x:c r="E109" s="32" t="str">
        <x:v>Neomys fodiens</x:v>
      </x:c>
      <x:c r="F109" s="30" t="str">
        <x:v>rare</x:v>
      </x:c>
      <x:c r="G109" s="30" t="str">
        <x:v>standard</x:v>
      </x:c>
      <x:c r="H109" s="30" t="str">
        <x:v>year-round</x:v>
      </x:c>
      <x:c r="I1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">
      <x:c r="A110" s="36" t="str">
        <x:v>mediterranean_europe</x:v>
      </x:c>
      <x:c r="B110" s="30" t="str">
        <x:v>mediterranean-europe-broad-draft-1</x:v>
      </x:c>
      <x:c r="C110" s="30" t="n">
        <x:v>40572</x:v>
      </x:c>
      <x:c r="D110" s="32" t="str">
        <x:v>Common Noctule</x:v>
      </x:c>
      <x:c r="E110" s="32" t="str">
        <x:v>Nyctalus noctula</x:v>
      </x:c>
      <x:c r="F110" s="30" t="str">
        <x:v>rare</x:v>
      </x:c>
      <x:c r="G110" s="30" t="str">
        <x:v>standard</x:v>
      </x:c>
      <x:c r="H110" s="30" t="str">
        <x:v>year-round</x:v>
      </x:c>
      <x:c r="I1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">
      <x:c r="A111" s="36" t="str">
        <x:v>mediterranean_europe</x:v>
      </x:c>
      <x:c r="B111" s="30" t="str">
        <x:v>mediterranean-europe-broad-draft-1</x:v>
      </x:c>
      <x:c r="C111" s="30" t="n">
        <x:v>1698425</x:v>
      </x:c>
      <x:c r="D111" s="32" t="str">
        <x:v>Iberian Rabbit</x:v>
      </x:c>
      <x:c r="E111" s="32" t="str">
        <x:v>Oryctolagus algirus</x:v>
      </x:c>
      <x:c r="F111" s="30" t="str">
        <x:v>rare</x:v>
      </x:c>
      <x:c r="G111" s="30" t="str">
        <x:v>standard</x:v>
      </x:c>
      <x:c r="H111" s="30" t="str">
        <x:v>year-round</x:v>
      </x:c>
      <x:c r="I1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">
      <x:c r="A112" s="36" t="str">
        <x:v>mediterranean_europe</x:v>
      </x:c>
      <x:c r="B112" s="30" t="str">
        <x:v>mediterranean-europe-broad-draft-1</x:v>
      </x:c>
      <x:c r="C112" s="30" t="n">
        <x:v>45316</x:v>
      </x:c>
      <x:c r="D112" s="32" t="str">
        <x:v>Eurasian Harvest Mouse</x:v>
      </x:c>
      <x:c r="E112" s="32" t="str">
        <x:v>Micromys minutus</x:v>
      </x:c>
      <x:c r="F112" s="30" t="str">
        <x:v>rare</x:v>
      </x:c>
      <x:c r="G112" s="30" t="str">
        <x:v>standard</x:v>
      </x:c>
      <x:c r="H112" s="30" t="str">
        <x:v>year-round</x:v>
      </x:c>
      <x:c r="I1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">
      <x:c r="A113" s="36" t="str">
        <x:v>mediterranean_europe</x:v>
      </x:c>
      <x:c r="B113" s="30" t="str">
        <x:v>mediterranean-europe-broad-draft-1</x:v>
      </x:c>
      <x:c r="C113" s="30" t="n">
        <x:v>40446</x:v>
      </x:c>
      <x:c r="D113" s="32" t="str">
        <x:v>Particoloured Bat</x:v>
      </x:c>
      <x:c r="E113" s="32" t="str">
        <x:v>Vespertilio murinus</x:v>
      </x:c>
      <x:c r="F113" s="30" t="str">
        <x:v>rare</x:v>
      </x:c>
      <x:c r="G113" s="30" t="str">
        <x:v>standard</x:v>
      </x:c>
      <x:c r="H113" s="30" t="str">
        <x:v>year-round</x:v>
      </x:c>
      <x:c r="I1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">
      <x:c r="A114" s="36" t="str">
        <x:v>mediterranean_europe</x:v>
      </x:c>
      <x:c r="B114" s="30" t="str">
        <x:v>mediterranean-europe-broad-draft-1</x:v>
      </x:c>
      <x:c r="C114" s="30" t="n">
        <x:v>43143</x:v>
      </x:c>
      <x:c r="D114" s="32" t="str">
        <x:v>Apennine Hare</x:v>
      </x:c>
      <x:c r="E114" s="32" t="str">
        <x:v>Lepus corsicanus</x:v>
      </x:c>
      <x:c r="F114" s="30" t="str">
        <x:v>rare</x:v>
      </x:c>
      <x:c r="G114" s="30" t="str">
        <x:v>standard</x:v>
      </x:c>
      <x:c r="H114" s="30" t="str">
        <x:v>year-round</x:v>
      </x:c>
      <x:c r="I1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">
      <x:c r="A115" s="36" t="str">
        <x:v>mediterranean_europe</x:v>
      </x:c>
      <x:c r="B115" s="30" t="str">
        <x:v>mediterranean-europe-broad-draft-1</x:v>
      </x:c>
      <x:c r="C115" s="30" t="n">
        <x:v>46037</x:v>
      </x:c>
      <x:c r="D115" s="32" t="str">
        <x:v>European Ground Squirrel</x:v>
      </x:c>
      <x:c r="E115" s="32" t="str">
        <x:v>Spermophilus citellus</x:v>
      </x:c>
      <x:c r="F115" s="30" t="str">
        <x:v>rare</x:v>
      </x:c>
      <x:c r="G115" s="30" t="str">
        <x:v>standard</x:v>
      </x:c>
      <x:c r="H115" s="30" t="str">
        <x:v>year-round</x:v>
      </x:c>
      <x:c r="I1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">
      <x:c r="A116" s="36" t="str">
        <x:v>mediterranean_europe</x:v>
      </x:c>
      <x:c r="B116" s="30" t="str">
        <x:v>mediterranean-europe-broad-draft-1</x:v>
      </x:c>
      <x:c r="C116" s="30" t="n">
        <x:v>1596135</x:v>
      </x:c>
      <x:c r="D116" s="32" t="str">
        <x:v>Meridional Serotine</x:v>
      </x:c>
      <x:c r="E116" s="32" t="str">
        <x:v>Cnephaeus isabellinus</x:v>
      </x:c>
      <x:c r="F116" s="30" t="str">
        <x:v>rare</x:v>
      </x:c>
      <x:c r="G116" s="30" t="str">
        <x:v>standard</x:v>
      </x:c>
      <x:c r="H116" s="30" t="str">
        <x:v>year-round</x:v>
      </x:c>
      <x:c r="I1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">
      <x:c r="A117" s="36" t="str">
        <x:v>mediterranean_europe</x:v>
      </x:c>
      <x:c r="B117" s="30" t="str">
        <x:v>mediterranean-europe-broad-draft-1</x:v>
      </x:c>
      <x:c r="C117" s="30" t="n">
        <x:v>41566</x:v>
      </x:c>
      <x:c r="D117" s="32" t="str">
        <x:v>Humpback Whale</x:v>
      </x:c>
      <x:c r="E117" s="32" t="str">
        <x:v>Megaptera novaeangliae</x:v>
      </x:c>
      <x:c r="F117" s="30" t="str">
        <x:v>rare</x:v>
      </x:c>
      <x:c r="G117" s="30" t="str">
        <x:v>standard</x:v>
      </x:c>
      <x:c r="H117" s="30" t="str">
        <x:v>year-round</x:v>
      </x:c>
      <x:c r="I1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">
      <x:c r="A118" s="36" t="str">
        <x:v>mediterranean_europe</x:v>
      </x:c>
      <x:c r="B118" s="30" t="str">
        <x:v>mediterranean-europe-broad-draft-1</x:v>
      </x:c>
      <x:c r="C118" s="30" t="n">
        <x:v>81925</x:v>
      </x:c>
      <x:c r="D118" s="32" t="str">
        <x:v>Domestic Water Buffalo</x:v>
      </x:c>
      <x:c r="E118" s="32" t="str">
        <x:v>Bubalus bubalis</x:v>
      </x:c>
      <x:c r="F118" s="30" t="str">
        <x:v>very_rare</x:v>
      </x:c>
      <x:c r="G118" s="30" t="str">
        <x:v>standard</x:v>
      </x:c>
      <x:c r="H118" s="30" t="str">
        <x:v>year-round</x:v>
      </x:c>
      <x:c r="I1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">
      <x:c r="A119" s="36" t="str">
        <x:v>mediterranean_europe</x:v>
      </x:c>
      <x:c r="B119" s="30" t="str">
        <x:v>mediterranean-europe-broad-draft-1</x:v>
      </x:c>
      <x:c r="C119" s="30" t="n">
        <x:v>43043</x:v>
      </x:c>
      <x:c r="D119" s="32" t="str">
        <x:v>Southern White-breasted Hedgehog</x:v>
      </x:c>
      <x:c r="E119" s="32" t="str">
        <x:v>Erinaceus concolor</x:v>
      </x:c>
      <x:c r="F119" s="30" t="str">
        <x:v>rare</x:v>
      </x:c>
      <x:c r="G119" s="30" t="str">
        <x:v>standard</x:v>
      </x:c>
      <x:c r="H119" s="30" t="str">
        <x:v>year-round</x:v>
      </x:c>
      <x:c r="I1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">
      <x:c r="A120" s="36" t="str">
        <x:v>mediterranean_europe</x:v>
      </x:c>
      <x:c r="B120" s="30" t="str">
        <x:v>mediterranean-europe-broad-draft-1</x:v>
      </x:c>
      <x:c r="C120" s="30" t="n">
        <x:v>41663</x:v>
      </x:c>
      <x:c r="D120" s="32" t="str">
        <x:v>Common Raccoon</x:v>
      </x:c>
      <x:c r="E120" s="32" t="str">
        <x:v>Procyon lotor</x:v>
      </x:c>
      <x:c r="F120" s="30" t="str">
        <x:v>very_rare</x:v>
      </x:c>
      <x:c r="G120" s="30" t="str">
        <x:v>standard</x:v>
      </x:c>
      <x:c r="H120" s="30" t="str">
        <x:v>year-round</x:v>
      </x:c>
      <x:c r="I1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">
      <x:c r="A121" s="36" t="str">
        <x:v>mediterranean_europe</x:v>
      </x:c>
      <x:c r="B121" s="30" t="str">
        <x:v>mediterranean-europe-broad-draft-1</x:v>
      </x:c>
      <x:c r="C121" s="30" t="n">
        <x:v>41550</x:v>
      </x:c>
      <x:c r="D121" s="32" t="str">
        <x:v>Common Minke Whale</x:v>
      </x:c>
      <x:c r="E121" s="32" t="str">
        <x:v>Balaenoptera acutorostrata</x:v>
      </x:c>
      <x:c r="F121" s="30" t="str">
        <x:v>very_rare</x:v>
      </x:c>
      <x:c r="G121" s="30" t="str">
        <x:v>standard</x:v>
      </x:c>
      <x:c r="H121" s="30" t="str">
        <x:v>year-round</x:v>
      </x:c>
      <x:c r="I1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">
      <x:c r="A122" s="36" t="str">
        <x:v>mediterranean_europe</x:v>
      </x:c>
      <x:c r="B122" s="30" t="str">
        <x:v>mediterranean-europe-broad-draft-1</x:v>
      </x:c>
      <x:c r="C122" s="30" t="n">
        <x:v>59202</x:v>
      </x:c>
      <x:c r="D122" s="32" t="str">
        <x:v>Yellow-legged Gull</x:v>
      </x:c>
      <x:c r="E122" s="32" t="str">
        <x:v>Larus michahellis</x:v>
      </x:c>
      <x:c r="F122" s="30" t="str">
        <x:v>common</x:v>
      </x:c>
      <x:c r="G122" s="30" t="str">
        <x:v>standard</x:v>
      </x:c>
      <x:c r="H122" s="30" t="str">
        <x:v>year-round</x:v>
      </x:c>
      <x:c r="I1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">
      <x:c r="A123" s="36" t="str">
        <x:v>mediterranean_europe</x:v>
      </x:c>
      <x:c r="B123" s="30" t="str">
        <x:v>mediterranean-europe-broad-draft-1</x:v>
      </x:c>
      <x:c r="C123" s="30" t="n">
        <x:v>12716</x:v>
      </x:c>
      <x:c r="D123" s="32" t="str">
        <x:v>Eurasian Blackbird</x:v>
      </x:c>
      <x:c r="E123" s="32" t="str">
        <x:v>Turdus merula</x:v>
      </x:c>
      <x:c r="F123" s="30" t="str">
        <x:v>common</x:v>
      </x:c>
      <x:c r="G123" s="30" t="str">
        <x:v>standard</x:v>
      </x:c>
      <x:c r="H123" s="30" t="str">
        <x:v>year-round</x:v>
      </x:c>
      <x:c r="I1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">
      <x:c r="A124" s="36" t="str">
        <x:v>mediterranean_europe</x:v>
      </x:c>
      <x:c r="B124" s="30" t="str">
        <x:v>mediterranean-europe-broad-draft-1</x:v>
      </x:c>
      <x:c r="C124" s="30" t="n">
        <x:v>6930</x:v>
      </x:c>
      <x:c r="D124" s="32" t="str">
        <x:v>Mallard</x:v>
      </x:c>
      <x:c r="E124" s="32" t="str">
        <x:v>Anas platyrhynchos</x:v>
      </x:c>
      <x:c r="F124" s="30" t="str">
        <x:v>common</x:v>
      </x:c>
      <x:c r="G124" s="30" t="str">
        <x:v>standard</x:v>
      </x:c>
      <x:c r="H124" s="30" t="str">
        <x:v>year-round</x:v>
      </x:c>
      <x:c r="I1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">
      <x:c r="A125" s="36" t="str">
        <x:v>mediterranean_europe</x:v>
      </x:c>
      <x:c r="B125" s="30" t="str">
        <x:v>mediterranean-europe-broad-draft-1</x:v>
      </x:c>
      <x:c r="C125" s="30" t="n">
        <x:v>13858</x:v>
      </x:c>
      <x:c r="D125" s="32" t="str">
        <x:v>House Sparrow</x:v>
      </x:c>
      <x:c r="E125" s="32" t="str">
        <x:v>Passer domesticus</x:v>
      </x:c>
      <x:c r="F125" s="30" t="str">
        <x:v>common</x:v>
      </x:c>
      <x:c r="G125" s="30" t="str">
        <x:v>standard</x:v>
      </x:c>
      <x:c r="H125" s="30" t="str">
        <x:v>year-round</x:v>
      </x:c>
      <x:c r="I1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">
      <x:c r="A126" s="36" t="str">
        <x:v>mediterranean_europe</x:v>
      </x:c>
      <x:c r="B126" s="30" t="str">
        <x:v>mediterranean-europe-broad-draft-1</x:v>
      </x:c>
      <x:c r="C126" s="30" t="n">
        <x:v>4954</x:v>
      </x:c>
      <x:c r="D126" s="32" t="str">
        <x:v>Grey Heron</x:v>
      </x:c>
      <x:c r="E126" s="32" t="str">
        <x:v>Ardea cinerea</x:v>
      </x:c>
      <x:c r="F126" s="30" t="str">
        <x:v>common</x:v>
      </x:c>
      <x:c r="G126" s="30" t="str">
        <x:v>standard</x:v>
      </x:c>
      <x:c r="H126" s="30" t="str">
        <x:v>year-round</x:v>
      </x:c>
      <x:c r="I1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">
      <x:c r="A127" s="36" t="str">
        <x:v>mediterranean_europe</x:v>
      </x:c>
      <x:c r="B127" s="30" t="str">
        <x:v>mediterranean-europe-broad-draft-1</x:v>
      </x:c>
      <x:c r="C127" s="30" t="n">
        <x:v>13000</x:v>
      </x:c>
      <x:c r="D127" s="32" t="str">
        <x:v>Black Redstart</x:v>
      </x:c>
      <x:c r="E127" s="32" t="str">
        <x:v>Phoenicurus ochruros</x:v>
      </x:c>
      <x:c r="F127" s="30" t="str">
        <x:v>common</x:v>
      </x:c>
      <x:c r="G127" s="30" t="str">
        <x:v>standard</x:v>
      </x:c>
      <x:c r="H127" s="30" t="str">
        <x:v>year-round</x:v>
      </x:c>
      <x:c r="I1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">
      <x:c r="A128" s="36" t="str">
        <x:v>mediterranean_europe</x:v>
      </x:c>
      <x:c r="B128" s="30" t="str">
        <x:v>mediterranean-europe-broad-draft-1</x:v>
      </x:c>
      <x:c r="C128" s="30" t="n">
        <x:v>13094</x:v>
      </x:c>
      <x:c r="D128" s="32" t="str">
        <x:v>European Robin</x:v>
      </x:c>
      <x:c r="E128" s="32" t="str">
        <x:v>Erithacus rubecula</x:v>
      </x:c>
      <x:c r="F128" s="30" t="str">
        <x:v>common</x:v>
      </x:c>
      <x:c r="G128" s="30" t="str">
        <x:v>standard</x:v>
      </x:c>
      <x:c r="H128" s="30" t="str">
        <x:v>year-round</x:v>
      </x:c>
      <x:c r="I128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129">
      <x:c r="A129" s="36" t="str">
        <x:v>mediterranean_europe</x:v>
      </x:c>
      <x:c r="B129" s="30" t="str">
        <x:v>mediterranean-europe-broad-draft-1</x:v>
      </x:c>
      <x:c r="C129" s="30" t="n">
        <x:v>4943</x:v>
      </x:c>
      <x:c r="D129" s="32" t="str">
        <x:v>Little Egret</x:v>
      </x:c>
      <x:c r="E129" s="32" t="str">
        <x:v>Egretta garzetta</x:v>
      </x:c>
      <x:c r="F129" s="30" t="str">
        <x:v>common</x:v>
      </x:c>
      <x:c r="G129" s="30" t="str">
        <x:v>standard</x:v>
      </x:c>
      <x:c r="H129" s="30" t="str">
        <x:v>year-round</x:v>
      </x:c>
      <x:c r="I1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">
      <x:c r="A130" s="36" t="str">
        <x:v>mediterranean_europe</x:v>
      </x:c>
      <x:c r="B130" s="30" t="str">
        <x:v>mediterranean-europe-broad-draft-1</x:v>
      </x:c>
      <x:c r="C130" s="30" t="n">
        <x:v>891696</x:v>
      </x:c>
      <x:c r="D130" s="32" t="str">
        <x:v>Eurasian Magpie</x:v>
      </x:c>
      <x:c r="E130" s="32" t="str">
        <x:v>Pica pica</x:v>
      </x:c>
      <x:c r="F130" s="30" t="str">
        <x:v>common</x:v>
      </x:c>
      <x:c r="G130" s="30" t="str">
        <x:v>standard</x:v>
      </x:c>
      <x:c r="H130" s="30" t="str">
        <x:v>year-round</x:v>
      </x:c>
      <x:c r="I1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">
      <x:c r="A131" s="36" t="str">
        <x:v>mediterranean_europe</x:v>
      </x:c>
      <x:c r="B131" s="30" t="str">
        <x:v>mediterranean-europe-broad-draft-1</x:v>
      </x:c>
      <x:c r="C131" s="30" t="n">
        <x:v>204472</x:v>
      </x:c>
      <x:c r="D131" s="32" t="str">
        <x:v>Common Buzzard</x:v>
      </x:c>
      <x:c r="E131" s="32" t="str">
        <x:v>Buteo buteo</x:v>
      </x:c>
      <x:c r="F131" s="30" t="str">
        <x:v>common</x:v>
      </x:c>
      <x:c r="G131" s="30" t="str">
        <x:v>standard</x:v>
      </x:c>
      <x:c r="H131" s="30" t="str">
        <x:v>year-round</x:v>
      </x:c>
      <x:c r="I1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">
      <x:c r="A132" s="36" t="str">
        <x:v>mediterranean_europe</x:v>
      </x:c>
      <x:c r="B132" s="30" t="str">
        <x:v>mediterranean-europe-broad-draft-1</x:v>
      </x:c>
      <x:c r="C132" s="30" t="n">
        <x:v>10070</x:v>
      </x:c>
      <x:c r="D132" s="32" t="str">
        <x:v>Common Chaffinch</x:v>
      </x:c>
      <x:c r="E132" s="32" t="str">
        <x:v>Fringilla coelebs</x:v>
      </x:c>
      <x:c r="F132" s="30" t="str">
        <x:v>common</x:v>
      </x:c>
      <x:c r="G132" s="30" t="str">
        <x:v>standard</x:v>
      </x:c>
      <x:c r="H132" s="30" t="str">
        <x:v>year-round</x:v>
      </x:c>
      <x:c r="I1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">
      <x:c r="A133" s="36" t="str">
        <x:v>mediterranean_europe</x:v>
      </x:c>
      <x:c r="B133" s="30" t="str">
        <x:v>mediterranean-europe-broad-draft-1</x:v>
      </x:c>
      <x:c r="C133" s="30" t="n">
        <x:v>472766</x:v>
      </x:c>
      <x:c r="D133" s="32" t="str">
        <x:v>Eurasian Kestrel</x:v>
      </x:c>
      <x:c r="E133" s="32" t="str">
        <x:v>Falco tinnunculus</x:v>
      </x:c>
      <x:c r="F133" s="30" t="str">
        <x:v>common</x:v>
      </x:c>
      <x:c r="G133" s="30" t="str">
        <x:v>standard</x:v>
      </x:c>
      <x:c r="H133" s="30" t="str">
        <x:v>year-round</x:v>
      </x:c>
      <x:c r="I1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">
      <x:c r="A134" s="36" t="str">
        <x:v>mediterranean_europe</x:v>
      </x:c>
      <x:c r="B134" s="30" t="str">
        <x:v>mediterranean-europe-broad-draft-1</x:v>
      </x:c>
      <x:c r="C134" s="30" t="n">
        <x:v>2969</x:v>
      </x:c>
      <x:c r="D134" s="32" t="str">
        <x:v>Eurasian Collared-Dove</x:v>
      </x:c>
      <x:c r="E134" s="32" t="str">
        <x:v>Streptopelia decaocto</x:v>
      </x:c>
      <x:c r="F134" s="30" t="str">
        <x:v>common</x:v>
      </x:c>
      <x:c r="G134" s="30" t="str">
        <x:v>standard</x:v>
      </x:c>
      <x:c r="H134" s="30" t="str">
        <x:v>year-round</x:v>
      </x:c>
      <x:c r="I1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">
      <x:c r="A135" s="36" t="str">
        <x:v>mediterranean_europe</x:v>
      </x:c>
      <x:c r="B135" s="30" t="str">
        <x:v>mediterranean-europe-broad-draft-1</x:v>
      </x:c>
      <x:c r="C135" s="30" t="n">
        <x:v>201192</x:v>
      </x:c>
      <x:c r="D135" s="32" t="str">
        <x:v>European Stonechat</x:v>
      </x:c>
      <x:c r="E135" s="32" t="str">
        <x:v>Saxicola rubicola</x:v>
      </x:c>
      <x:c r="F135" s="30" t="str">
        <x:v>common</x:v>
      </x:c>
      <x:c r="G135" s="30" t="str">
        <x:v>standard</x:v>
      </x:c>
      <x:c r="H135" s="30" t="str">
        <x:v>year-round</x:v>
      </x:c>
      <x:c r="I1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">
      <x:c r="A136" s="36" t="str">
        <x:v>mediterranean_europe</x:v>
      </x:c>
      <x:c r="B136" s="30" t="str">
        <x:v>mediterranean-europe-broad-draft-1</x:v>
      </x:c>
      <x:c r="C136" s="30" t="n">
        <x:v>4270</x:v>
      </x:c>
      <x:c r="D136" s="32" t="str">
        <x:v>Great Cormorant</x:v>
      </x:c>
      <x:c r="E136" s="32" t="str">
        <x:v>Phalacrocorax carbo</x:v>
      </x:c>
      <x:c r="F136" s="30" t="str">
        <x:v>common</x:v>
      </x:c>
      <x:c r="G136" s="30" t="str">
        <x:v>standard</x:v>
      </x:c>
      <x:c r="H136" s="30" t="str">
        <x:v>year-round</x:v>
      </x:c>
      <x:c r="I1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">
      <x:c r="A137" s="36" t="str">
        <x:v>mediterranean_europe</x:v>
      </x:c>
      <x:c r="B137" s="30" t="str">
        <x:v>mediterranean-europe-broad-draft-1</x:v>
      </x:c>
      <x:c r="C137" s="30" t="n">
        <x:v>13695</x:v>
      </x:c>
      <x:c r="D137" s="32" t="str">
        <x:v>White Wagtail</x:v>
      </x:c>
      <x:c r="E137" s="32" t="str">
        <x:v>Motacilla alba</x:v>
      </x:c>
      <x:c r="F137" s="30" t="str">
        <x:v>common</x:v>
      </x:c>
      <x:c r="G137" s="30" t="str">
        <x:v>standard</x:v>
      </x:c>
      <x:c r="H137" s="30" t="str">
        <x:v>year-round</x:v>
      </x:c>
      <x:c r="I1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">
      <x:c r="A138" s="36" t="str">
        <x:v>mediterranean_europe</x:v>
      </x:c>
      <x:c r="B138" s="30" t="str">
        <x:v>mediterranean-europe-broad-draft-1</x:v>
      </x:c>
      <x:c r="C138" s="30" t="n">
        <x:v>203153</x:v>
      </x:c>
      <x:c r="D138" s="32" t="str">
        <x:v>Great Tit</x:v>
      </x:c>
      <x:c r="E138" s="32" t="str">
        <x:v>Parus major</x:v>
      </x:c>
      <x:c r="F138" s="30" t="str">
        <x:v>common</x:v>
      </x:c>
      <x:c r="G138" s="30" t="str">
        <x:v>standard</x:v>
      </x:c>
      <x:c r="H138" s="30" t="str">
        <x:v>year-round</x:v>
      </x:c>
      <x:c r="I1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">
      <x:c r="A139" s="36" t="str">
        <x:v>mediterranean_europe</x:v>
      </x:c>
      <x:c r="B139" s="30" t="str">
        <x:v>mediterranean-europe-broad-draft-1</x:v>
      </x:c>
      <x:c r="C139" s="30" t="n">
        <x:v>3048</x:v>
      </x:c>
      <x:c r="D139" s="32" t="str">
        <x:v>Common Wood-Pigeon</x:v>
      </x:c>
      <x:c r="E139" s="32" t="str">
        <x:v>Columba palumbus</x:v>
      </x:c>
      <x:c r="F139" s="30" t="str">
        <x:v>common</x:v>
      </x:c>
      <x:c r="G139" s="30" t="str">
        <x:v>standard</x:v>
      </x:c>
      <x:c r="H139" s="30" t="str">
        <x:v>year-round</x:v>
      </x:c>
      <x:c r="I1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">
      <x:c r="A140" s="36" t="str">
        <x:v>mediterranean_europe</x:v>
      </x:c>
      <x:c r="B140" s="30" t="str">
        <x:v>mediterranean-europe-broad-draft-1</x:v>
      </x:c>
      <x:c r="C140" s="30" t="n">
        <x:v>9236</x:v>
      </x:c>
      <x:c r="D140" s="32" t="str">
        <x:v>European Serin</x:v>
      </x:c>
      <x:c r="E140" s="32" t="str">
        <x:v>Serinus serinus</x:v>
      </x:c>
      <x:c r="F140" s="30" t="str">
        <x:v>common</x:v>
      </x:c>
      <x:c r="G140" s="30" t="str">
        <x:v>standard</x:v>
      </x:c>
      <x:c r="H140" s="30" t="str">
        <x:v>year-round</x:v>
      </x:c>
      <x:c r="I1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">
      <x:c r="A141" s="36" t="str">
        <x:v>mediterranean_europe</x:v>
      </x:c>
      <x:c r="B141" s="30" t="str">
        <x:v>mediterranean-europe-broad-draft-1</x:v>
      </x:c>
      <x:c r="C141" s="30" t="n">
        <x:v>144510</x:v>
      </x:c>
      <x:c r="D141" s="32" t="str">
        <x:v>Black-headed Gull</x:v>
      </x:c>
      <x:c r="E141" s="32" t="str">
        <x:v>Chroicocephalus ridibundus</x:v>
      </x:c>
      <x:c r="F141" s="30" t="str">
        <x:v>common</x:v>
      </x:c>
      <x:c r="G141" s="30" t="str">
        <x:v>standard</x:v>
      </x:c>
      <x:c r="H141" s="30" t="str">
        <x:v>year-round</x:v>
      </x:c>
      <x:c r="I1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">
      <x:c r="A142" s="36" t="str">
        <x:v>mediterranean_europe</x:v>
      </x:c>
      <x:c r="B142" s="30" t="str">
        <x:v>mediterranean-europe-broad-draft-1</x:v>
      </x:c>
      <x:c r="C142" s="30" t="n">
        <x:v>5366</x:v>
      </x:c>
      <x:c r="D142" s="32" t="str">
        <x:v>Eurasian Griffon</x:v>
      </x:c>
      <x:c r="E142" s="32" t="str">
        <x:v>Gyps fulvus</x:v>
      </x:c>
      <x:c r="F142" s="30" t="str">
        <x:v>common</x:v>
      </x:c>
      <x:c r="G142" s="30" t="str">
        <x:v>standard</x:v>
      </x:c>
      <x:c r="H142" s="30" t="str">
        <x:v>year-round</x:v>
      </x:c>
      <x:c r="I142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143">
      <x:c r="A143" s="36" t="str">
        <x:v>mediterranean_europe</x:v>
      </x:c>
      <x:c r="B143" s="30" t="str">
        <x:v>mediterranean-europe-broad-draft-1</x:v>
      </x:c>
      <x:c r="C143" s="30" t="n">
        <x:v>11901</x:v>
      </x:c>
      <x:c r="D143" s="32" t="str">
        <x:v>Barn Swallow</x:v>
      </x:c>
      <x:c r="E143" s="32" t="str">
        <x:v>Hirundo rustica</x:v>
      </x:c>
      <x:c r="F143" s="30" t="str">
        <x:v>common</x:v>
      </x:c>
      <x:c r="G143" s="30" t="str">
        <x:v>standard</x:v>
      </x:c>
      <x:c r="H143" s="30" t="str">
        <x:v>year-round</x:v>
      </x:c>
      <x:c r="I1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">
      <x:c r="A144" s="36" t="str">
        <x:v>mediterranean_europe</x:v>
      </x:c>
      <x:c r="B144" s="30" t="str">
        <x:v>mediterranean-europe-broad-draft-1</x:v>
      </x:c>
      <x:c r="C144" s="30" t="n">
        <x:v>482</x:v>
      </x:c>
      <x:c r="D144" s="32" t="str">
        <x:v>Eurasian Coot</x:v>
      </x:c>
      <x:c r="E144" s="32" t="str">
        <x:v>Fulica atra</x:v>
      </x:c>
      <x:c r="F144" s="30" t="str">
        <x:v>common</x:v>
      </x:c>
      <x:c r="G144" s="30" t="str">
        <x:v>standard</x:v>
      </x:c>
      <x:c r="H144" s="30" t="str">
        <x:v>year-round</x:v>
      </x:c>
      <x:c r="I1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">
      <x:c r="A145" s="36" t="str">
        <x:v>mediterranean_europe</x:v>
      </x:c>
      <x:c r="B145" s="30" t="str">
        <x:v>mediterranean-europe-broad-draft-1</x:v>
      </x:c>
      <x:c r="C145" s="30" t="n">
        <x:v>73222</x:v>
      </x:c>
      <x:c r="D145" s="32" t="str">
        <x:v>Greater Flamingo</x:v>
      </x:c>
      <x:c r="E145" s="32" t="str">
        <x:v>Phoenicopterus roseus</x:v>
      </x:c>
      <x:c r="F145" s="30" t="str">
        <x:v>common</x:v>
      </x:c>
      <x:c r="G145" s="30" t="str">
        <x:v>standard</x:v>
      </x:c>
      <x:c r="H145" s="30" t="str">
        <x:v>year-round</x:v>
      </x:c>
      <x:c r="I145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146">
      <x:c r="A146" s="36" t="str">
        <x:v>mediterranean_europe</x:v>
      </x:c>
      <x:c r="B146" s="30" t="str">
        <x:v>mediterranean-europe-broad-draft-1</x:v>
      </x:c>
      <x:c r="C146" s="30" t="n">
        <x:v>9398</x:v>
      </x:c>
      <x:c r="D146" s="32" t="str">
        <x:v>European Goldfinch</x:v>
      </x:c>
      <x:c r="E146" s="32" t="str">
        <x:v>Carduelis carduelis</x:v>
      </x:c>
      <x:c r="F146" s="30" t="str">
        <x:v>common</x:v>
      </x:c>
      <x:c r="G146" s="30" t="str">
        <x:v>standard</x:v>
      </x:c>
      <x:c r="H146" s="30" t="str">
        <x:v>year-round</x:v>
      </x:c>
      <x:c r="I1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">
      <x:c r="A147" s="36" t="str">
        <x:v>mediterranean_europe</x:v>
      </x:c>
      <x:c r="B147" s="30" t="str">
        <x:v>mediterranean-europe-broad-draft-1</x:v>
      </x:c>
      <x:c r="C147" s="30" t="n">
        <x:v>201282</x:v>
      </x:c>
      <x:c r="D147" s="32" t="str">
        <x:v>Common Moorhen</x:v>
      </x:c>
      <x:c r="E147" s="32" t="str">
        <x:v>Gallinula chloropus</x:v>
      </x:c>
      <x:c r="F147" s="30" t="str">
        <x:v>common</x:v>
      </x:c>
      <x:c r="G147" s="30" t="str">
        <x:v>standard</x:v>
      </x:c>
      <x:c r="H147" s="30" t="str">
        <x:v>year-round</x:v>
      </x:c>
      <x:c r="I1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">
      <x:c r="A148" s="36" t="str">
        <x:v>mediterranean_europe</x:v>
      </x:c>
      <x:c r="B148" s="30" t="str">
        <x:v>mediterranean-europe-broad-draft-1</x:v>
      </x:c>
      <x:c r="C148" s="30" t="n">
        <x:v>117016</x:v>
      </x:c>
      <x:c r="D148" s="32" t="str">
        <x:v>Common Chiffchaff</x:v>
      </x:c>
      <x:c r="E148" s="32" t="str">
        <x:v>Phylloscopus collybita</x:v>
      </x:c>
      <x:c r="F148" s="30" t="str">
        <x:v>common</x:v>
      </x:c>
      <x:c r="G148" s="30" t="str">
        <x:v>standard</x:v>
      </x:c>
      <x:c r="H148" s="30" t="str">
        <x:v>year-round</x:v>
      </x:c>
      <x:c r="I1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">
      <x:c r="A149" s="36" t="str">
        <x:v>mediterranean_europe</x:v>
      </x:c>
      <x:c r="B149" s="30" t="str">
        <x:v>mediterranean-europe-broad-draft-1</x:v>
      </x:c>
      <x:c r="C149" s="30" t="n">
        <x:v>4835</x:v>
      </x:c>
      <x:c r="D149" s="32" t="str">
        <x:v>Black-winged Stilt</x:v>
      </x:c>
      <x:c r="E149" s="32" t="str">
        <x:v>Himantopus himantopus</x:v>
      </x:c>
      <x:c r="F149" s="30" t="str">
        <x:v>common</x:v>
      </x:c>
      <x:c r="G149" s="30" t="str">
        <x:v>standard</x:v>
      </x:c>
      <x:c r="H149" s="30" t="str">
        <x:v>year-round</x:v>
      </x:c>
      <x:c r="I1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">
      <x:c r="A150" s="36" t="str">
        <x:v>mediterranean_europe</x:v>
      </x:c>
      <x:c r="B150" s="30" t="str">
        <x:v>mediterranean-europe-broad-draft-1</x:v>
      </x:c>
      <x:c r="C150" s="30" t="n">
        <x:v>144757</x:v>
      </x:c>
      <x:c r="D150" s="32" t="str">
        <x:v>Hooded Crow</x:v>
      </x:c>
      <x:c r="E150" s="32" t="str">
        <x:v>Corvus cornix</x:v>
      </x:c>
      <x:c r="F150" s="30" t="str">
        <x:v>common</x:v>
      </x:c>
      <x:c r="G150" s="30" t="str">
        <x:v>standard</x:v>
      </x:c>
      <x:c r="H150" s="30" t="str">
        <x:v>year-round</x:v>
      </x:c>
      <x:c r="I1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">
      <x:c r="A151" s="36" t="str">
        <x:v>mediterranean_europe</x:v>
      </x:c>
      <x:c r="B151" s="30" t="str">
        <x:v>mediterranean-europe-broad-draft-1</x:v>
      </x:c>
      <x:c r="C151" s="30" t="n">
        <x:v>4733</x:v>
      </x:c>
      <x:c r="D151" s="32" t="str">
        <x:v>White Stork</x:v>
      </x:c>
      <x:c r="E151" s="32" t="str">
        <x:v>Ciconia ciconia</x:v>
      </x:c>
      <x:c r="F151" s="30" t="str">
        <x:v>common</x:v>
      </x:c>
      <x:c r="G151" s="30" t="str">
        <x:v>standard</x:v>
      </x:c>
      <x:c r="H151" s="30" t="str">
        <x:v>year-round</x:v>
      </x:c>
      <x:c r="I1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">
      <x:c r="A152" s="36" t="str">
        <x:v>mediterranean_europe</x:v>
      </x:c>
      <x:c r="B152" s="30" t="str">
        <x:v>mediterranean-europe-broad-draft-1</x:v>
      </x:c>
      <x:c r="C152" s="30" t="n">
        <x:v>144849</x:v>
      </x:c>
      <x:c r="D152" s="32" t="str">
        <x:v>Eurasian Blue Tit</x:v>
      </x:c>
      <x:c r="E152" s="32" t="str">
        <x:v>Cyanistes caeruleus</x:v>
      </x:c>
      <x:c r="F152" s="30" t="str">
        <x:v>common</x:v>
      </x:c>
      <x:c r="G152" s="30" t="str">
        <x:v>standard</x:v>
      </x:c>
      <x:c r="H152" s="30" t="str">
        <x:v>year-round</x:v>
      </x:c>
      <x:c r="I1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">
      <x:c r="A153" s="36" t="str">
        <x:v>mediterranean_europe</x:v>
      </x:c>
      <x:c r="B153" s="30" t="str">
        <x:v>mediterranean-europe-broad-draft-1</x:v>
      </x:c>
      <x:c r="C153" s="30" t="n">
        <x:v>15282</x:v>
      </x:c>
      <x:c r="D153" s="32" t="str">
        <x:v>Eurasian Blackcap</x:v>
      </x:c>
      <x:c r="E153" s="32" t="str">
        <x:v>Sylvia atricapilla</x:v>
      </x:c>
      <x:c r="F153" s="30" t="str">
        <x:v>common</x:v>
      </x:c>
      <x:c r="G153" s="30" t="str">
        <x:v>standard</x:v>
      </x:c>
      <x:c r="H153" s="30" t="str">
        <x:v>year-round</x:v>
      </x:c>
      <x:c r="I1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">
      <x:c r="A154" s="36" t="str">
        <x:v>mediterranean_europe</x:v>
      </x:c>
      <x:c r="B154" s="30" t="str">
        <x:v>mediterranean-europe-broad-draft-1</x:v>
      </x:c>
      <x:c r="C154" s="30" t="n">
        <x:v>20969</x:v>
      </x:c>
      <x:c r="D154" s="32" t="str">
        <x:v>Common Hoopoe</x:v>
      </x:c>
      <x:c r="E154" s="32" t="str">
        <x:v>Upupa epops</x:v>
      </x:c>
      <x:c r="F154" s="30" t="str">
        <x:v>common</x:v>
      </x:c>
      <x:c r="G154" s="30" t="str">
        <x:v>standard</x:v>
      </x:c>
      <x:c r="H154" s="30" t="str">
        <x:v>spring to summer</x:v>
      </x:c>
      <x:c r="I154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155">
      <x:c r="A155" s="36" t="str">
        <x:v>mediterranean_europe</x:v>
      </x:c>
      <x:c r="B155" s="30" t="str">
        <x:v>mediterranean-europe-broad-draft-1</x:v>
      </x:c>
      <x:c r="C155" s="30" t="n">
        <x:v>411086</x:v>
      </x:c>
      <x:c r="D155" s="32" t="str">
        <x:v>Western Cattle-Egret</x:v>
      </x:c>
      <x:c r="E155" s="32" t="str">
        <x:v>Ardea ibis</x:v>
      </x:c>
      <x:c r="F155" s="30" t="str">
        <x:v>common</x:v>
      </x:c>
      <x:c r="G155" s="30" t="str">
        <x:v>standard</x:v>
      </x:c>
      <x:c r="H155" s="30" t="str">
        <x:v>year-round</x:v>
      </x:c>
      <x:c r="I1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">
      <x:c r="A156" s="36" t="str">
        <x:v>mediterranean_europe</x:v>
      </x:c>
      <x:c r="B156" s="30" t="str">
        <x:v>mediterranean-europe-broad-draft-1</x:v>
      </x:c>
      <x:c r="C156" s="30" t="n">
        <x:v>145360</x:v>
      </x:c>
      <x:c r="D156" s="32" t="str">
        <x:v>European Greenfinch</x:v>
      </x:c>
      <x:c r="E156" s="32" t="str">
        <x:v>Chloris chloris</x:v>
      </x:c>
      <x:c r="F156" s="30" t="str">
        <x:v>common</x:v>
      </x:c>
      <x:c r="G156" s="30" t="str">
        <x:v>standard</x:v>
      </x:c>
      <x:c r="H156" s="30" t="str">
        <x:v>year-round</x:v>
      </x:c>
      <x:c r="I1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">
      <x:c r="A157" s="36" t="str">
        <x:v>mediterranean_europe</x:v>
      </x:c>
      <x:c r="B157" s="30" t="str">
        <x:v>mediterranean-europe-broad-draft-1</x:v>
      </x:c>
      <x:c r="C157" s="30" t="n">
        <x:v>19349</x:v>
      </x:c>
      <x:c r="D157" s="32" t="str">
        <x:v>Monk Parakeet</x:v>
      </x:c>
      <x:c r="E157" s="32" t="str">
        <x:v>Myiopsitta monachus</x:v>
      </x:c>
      <x:c r="F157" s="30" t="str">
        <x:v>common</x:v>
      </x:c>
      <x:c r="G157" s="30" t="str">
        <x:v>standard</x:v>
      </x:c>
      <x:c r="H157" s="30" t="str">
        <x:v>year-round</x:v>
      </x:c>
      <x:c r="I1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">
      <x:c r="A158" s="36" t="str">
        <x:v>mediterranean_europe</x:v>
      </x:c>
      <x:c r="B158" s="30" t="str">
        <x:v>mediterranean-europe-broad-draft-1</x:v>
      </x:c>
      <x:c r="C158" s="30" t="n">
        <x:v>14849</x:v>
      </x:c>
      <x:c r="D158" s="32" t="str">
        <x:v>Spotless Starling</x:v>
      </x:c>
      <x:c r="E158" s="32" t="str">
        <x:v>Sturnus unicolor</x:v>
      </x:c>
      <x:c r="F158" s="30" t="str">
        <x:v>common</x:v>
      </x:c>
      <x:c r="G158" s="30" t="str">
        <x:v>standard</x:v>
      </x:c>
      <x:c r="H158" s="30" t="str">
        <x:v>year-round</x:v>
      </x:c>
      <x:c r="I1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">
      <x:c r="A159" s="36" t="str">
        <x:v>mediterranean_europe</x:v>
      </x:c>
      <x:c r="B159" s="30" t="str">
        <x:v>mediterranean-europe-broad-draft-1</x:v>
      </x:c>
      <x:c r="C159" s="30" t="n">
        <x:v>5267</x:v>
      </x:c>
      <x:c r="D159" s="32" t="str">
        <x:v>Red Kite</x:v>
      </x:c>
      <x:c r="E159" s="32" t="str">
        <x:v>Milvus milvus</x:v>
      </x:c>
      <x:c r="F159" s="30" t="str">
        <x:v>common</x:v>
      </x:c>
      <x:c r="G159" s="30" t="str">
        <x:v>standard</x:v>
      </x:c>
      <x:c r="H159" s="30" t="str">
        <x:v>year-round</x:v>
      </x:c>
      <x:c r="I1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">
      <x:c r="A160" s="36" t="str">
        <x:v>mediterranean_europe</x:v>
      </x:c>
      <x:c r="B160" s="30" t="str">
        <x:v>mediterranean-europe-broad-draft-1</x:v>
      </x:c>
      <x:c r="C160" s="30" t="n">
        <x:v>8088</x:v>
      </x:c>
      <x:c r="D160" s="32" t="str">
        <x:v>Eurasian Jay</x:v>
      </x:c>
      <x:c r="E160" s="32" t="str">
        <x:v>Garrulus glandarius</x:v>
      </x:c>
      <x:c r="F160" s="30" t="str">
        <x:v>common</x:v>
      </x:c>
      <x:c r="G160" s="30" t="str">
        <x:v>standard</x:v>
      </x:c>
      <x:c r="H160" s="30" t="str">
        <x:v>year-round</x:v>
      </x:c>
      <x:c r="I1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">
      <x:c r="A161" s="36" t="str">
        <x:v>mediterranean_europe</x:v>
      </x:c>
      <x:c r="B161" s="30" t="str">
        <x:v>mediterranean-europe-broad-draft-1</x:v>
      </x:c>
      <x:c r="C161" s="30" t="n">
        <x:v>5268</x:v>
      </x:c>
      <x:c r="D161" s="32" t="str">
        <x:v>Black Kite</x:v>
      </x:c>
      <x:c r="E161" s="32" t="str">
        <x:v>Milvus migrans</x:v>
      </x:c>
      <x:c r="F161" s="30" t="str">
        <x:v>common</x:v>
      </x:c>
      <x:c r="G161" s="30" t="str">
        <x:v>standard</x:v>
      </x:c>
      <x:c r="H161" s="30" t="str">
        <x:v>year-round</x:v>
      </x:c>
      <x:c r="I1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">
      <x:c r="A162" s="36" t="str">
        <x:v>mediterranean_europe</x:v>
      </x:c>
      <x:c r="B162" s="30" t="str">
        <x:v>mediterranean-europe-broad-draft-1</x:v>
      </x:c>
      <x:c r="C162" s="30" t="n">
        <x:v>1289472</x:v>
      </x:c>
      <x:c r="D162" s="32" t="str">
        <x:v>Sardinian Warbler</x:v>
      </x:c>
      <x:c r="E162" s="32" t="str">
        <x:v>Curruca melanocephala</x:v>
      </x:c>
      <x:c r="F162" s="30" t="str">
        <x:v>common</x:v>
      </x:c>
      <x:c r="G162" s="30" t="str">
        <x:v>standard</x:v>
      </x:c>
      <x:c r="H162" s="30" t="str">
        <x:v>year-round</x:v>
      </x:c>
      <x:c r="I1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">
      <x:c r="A163" s="36" t="str">
        <x:v>mediterranean_europe</x:v>
      </x:c>
      <x:c r="B163" s="30" t="str">
        <x:v>mediterranean-europe-broad-draft-1</x:v>
      </x:c>
      <x:c r="C163" s="30" t="n">
        <x:v>4208</x:v>
      </x:c>
      <x:c r="D163" s="32" t="str">
        <x:v>Great Crested Grebe</x:v>
      </x:c>
      <x:c r="E163" s="32" t="str">
        <x:v>Podiceps cristatus</x:v>
      </x:c>
      <x:c r="F163" s="30" t="str">
        <x:v>common</x:v>
      </x:c>
      <x:c r="G163" s="30" t="str">
        <x:v>standard</x:v>
      </x:c>
      <x:c r="H163" s="30" t="str">
        <x:v>year-round</x:v>
      </x:c>
      <x:c r="I1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">
      <x:c r="A164" s="36" t="str">
        <x:v>mediterranean_europe</x:v>
      </x:c>
      <x:c r="B164" s="30" t="str">
        <x:v>mediterranean-europe-broad-draft-1</x:v>
      </x:c>
      <x:c r="C164" s="30" t="n">
        <x:v>201233</x:v>
      </x:c>
      <x:c r="D164" s="32" t="str">
        <x:v>Italian Sparrow</x:v>
      </x:c>
      <x:c r="E164" s="32" t="str">
        <x:v>Passer italiae</x:v>
      </x:c>
      <x:c r="F164" s="30" t="str">
        <x:v>common</x:v>
      </x:c>
      <x:c r="G164" s="30" t="str">
        <x:v>standard</x:v>
      </x:c>
      <x:c r="H164" s="30" t="str">
        <x:v>year-round</x:v>
      </x:c>
      <x:c r="I1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">
      <x:c r="A165" s="36" t="str">
        <x:v>mediterranean_europe</x:v>
      </x:c>
      <x:c r="B165" s="30" t="str">
        <x:v>mediterranean-europe-broad-draft-1</x:v>
      </x:c>
      <x:c r="C165" s="30" t="n">
        <x:v>2191</x:v>
      </x:c>
      <x:c r="D165" s="32" t="str">
        <x:v>European Bee-eater</x:v>
      </x:c>
      <x:c r="E165" s="32" t="str">
        <x:v>Merops apiaster</x:v>
      </x:c>
      <x:c r="F165" s="30" t="str">
        <x:v>common</x:v>
      </x:c>
      <x:c r="G165" s="30" t="str">
        <x:v>standard</x:v>
      </x:c>
      <x:c r="H165" s="30" t="str">
        <x:v>spring to summer</x:v>
      </x:c>
      <x:c r="I165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166">
      <x:c r="A166" s="36" t="str">
        <x:v>mediterranean_europe</x:v>
      </x:c>
      <x:c r="B166" s="30" t="str">
        <x:v>mediterranean-europe-broad-draft-1</x:v>
      </x:c>
      <x:c r="C166" s="30" t="n">
        <x:v>3978</x:v>
      </x:c>
      <x:c r="D166" s="32" t="str">
        <x:v>Common Sandpiper</x:v>
      </x:c>
      <x:c r="E166" s="32" t="str">
        <x:v>Actitis hypoleucos</x:v>
      </x:c>
      <x:c r="F166" s="30" t="str">
        <x:v>common</x:v>
      </x:c>
      <x:c r="G166" s="30" t="str">
        <x:v>standard</x:v>
      </x:c>
      <x:c r="H166" s="30" t="str">
        <x:v>year-round</x:v>
      </x:c>
      <x:c r="I1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">
      <x:c r="A167" s="36" t="str">
        <x:v>mediterranean_europe</x:v>
      </x:c>
      <x:c r="B167" s="30" t="str">
        <x:v>mediterranean-europe-broad-draft-1</x:v>
      </x:c>
      <x:c r="C167" s="30" t="n">
        <x:v>4381</x:v>
      </x:c>
      <x:c r="D167" s="32" t="str">
        <x:v>Lesser Black-backed Gull</x:v>
      </x:c>
      <x:c r="E167" s="32" t="str">
        <x:v>Larus fuscus</x:v>
      </x:c>
      <x:c r="F167" s="30" t="str">
        <x:v>common</x:v>
      </x:c>
      <x:c r="G167" s="30" t="str">
        <x:v>standard</x:v>
      </x:c>
      <x:c r="H167" s="30" t="str">
        <x:v>year-round</x:v>
      </x:c>
      <x:c r="I1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">
      <x:c r="A168" s="36" t="str">
        <x:v>mediterranean_europe</x:v>
      </x:c>
      <x:c r="B168" s="30" t="str">
        <x:v>mediterranean-europe-broad-draft-1</x:v>
      </x:c>
      <x:c r="C168" s="30" t="n">
        <x:v>64705</x:v>
      </x:c>
      <x:c r="D168" s="32" t="str">
        <x:v>Western House Martin</x:v>
      </x:c>
      <x:c r="E168" s="32" t="str">
        <x:v>Delichon urbicum</x:v>
      </x:c>
      <x:c r="F168" s="30" t="str">
        <x:v>common</x:v>
      </x:c>
      <x:c r="G168" s="30" t="str">
        <x:v>standard</x:v>
      </x:c>
      <x:c r="H168" s="30" t="str">
        <x:v>year-round</x:v>
      </x:c>
      <x:c r="I1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">
      <x:c r="A169" s="36" t="str">
        <x:v>mediterranean_europe</x:v>
      </x:c>
      <x:c r="B169" s="30" t="str">
        <x:v>mediterranean-europe-broad-draft-1</x:v>
      </x:c>
      <x:c r="C169" s="30" t="n">
        <x:v>5173</x:v>
      </x:c>
      <x:c r="D169" s="32" t="str">
        <x:v>Western Marsh Harrier</x:v>
      </x:c>
      <x:c r="E169" s="32" t="str">
        <x:v>Circus aeruginosus</x:v>
      </x:c>
      <x:c r="F169" s="30" t="str">
        <x:v>common</x:v>
      </x:c>
      <x:c r="G169" s="30" t="str">
        <x:v>standard</x:v>
      </x:c>
      <x:c r="H169" s="30" t="str">
        <x:v>year-round</x:v>
      </x:c>
      <x:c r="I1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">
      <x:c r="A170" s="36" t="str">
        <x:v>mediterranean_europe</x:v>
      </x:c>
      <x:c r="B170" s="30" t="str">
        <x:v>mediterranean-europe-broad-draft-1</x:v>
      </x:c>
      <x:c r="C170" s="30" t="n">
        <x:v>7278</x:v>
      </x:c>
      <x:c r="D170" s="32" t="str">
        <x:v>Long-tailed Tit</x:v>
      </x:c>
      <x:c r="E170" s="32" t="str">
        <x:v>Aegithalos caudatus</x:v>
      </x:c>
      <x:c r="F170" s="30" t="str">
        <x:v>common</x:v>
      </x:c>
      <x:c r="G170" s="30" t="str">
        <x:v>standard</x:v>
      </x:c>
      <x:c r="H170" s="30" t="str">
        <x:v>year-round</x:v>
      </x:c>
      <x:c r="I1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">
      <x:c r="A171" s="36" t="str">
        <x:v>mediterranean_europe</x:v>
      </x:c>
      <x:c r="B171" s="30" t="str">
        <x:v>mediterranean-europe-broad-draft-1</x:v>
      </x:c>
      <x:c r="C171" s="30" t="n">
        <x:v>145291</x:v>
      </x:c>
      <x:c r="D171" s="32" t="str">
        <x:v>Corn Bunting</x:v>
      </x:c>
      <x:c r="E171" s="32" t="str">
        <x:v>Emberiza calandra</x:v>
      </x:c>
      <x:c r="F171" s="30" t="str">
        <x:v>common</x:v>
      </x:c>
      <x:c r="G171" s="30" t="str">
        <x:v>standard</x:v>
      </x:c>
      <x:c r="H171" s="30" t="str">
        <x:v>year-round</x:v>
      </x:c>
      <x:c r="I1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">
      <x:c r="A172" s="36" t="str">
        <x:v>mediterranean_europe</x:v>
      </x:c>
      <x:c r="B172" s="30" t="str">
        <x:v>mediterranean-europe-broad-draft-1</x:v>
      </x:c>
      <x:c r="C172" s="30" t="n">
        <x:v>4237</x:v>
      </x:c>
      <x:c r="D172" s="32" t="str">
        <x:v>Little Grebe</x:v>
      </x:c>
      <x:c r="E172" s="32" t="str">
        <x:v>Tachybaptus ruficollis</x:v>
      </x:c>
      <x:c r="F172" s="30" t="str">
        <x:v>common</x:v>
      </x:c>
      <x:c r="G172" s="30" t="str">
        <x:v>standard</x:v>
      </x:c>
      <x:c r="H172" s="30" t="str">
        <x:v>year-round</x:v>
      </x:c>
      <x:c r="I1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">
      <x:c r="A173" s="36" t="str">
        <x:v>mediterranean_europe</x:v>
      </x:c>
      <x:c r="B173" s="30" t="str">
        <x:v>mediterranean-europe-broad-draft-1</x:v>
      </x:c>
      <x:c r="C173" s="30" t="n">
        <x:v>12971</x:v>
      </x:c>
      <x:c r="D173" s="32" t="str">
        <x:v>Spotted Flycatcher</x:v>
      </x:c>
      <x:c r="E173" s="32" t="str">
        <x:v>Muscicapa striata</x:v>
      </x:c>
      <x:c r="F173" s="30" t="str">
        <x:v>common</x:v>
      </x:c>
      <x:c r="G173" s="30" t="str">
        <x:v>standard</x:v>
      </x:c>
      <x:c r="H173" s="30" t="str">
        <x:v>year-round</x:v>
      </x:c>
      <x:c r="I1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">
      <x:c r="A174" s="36" t="str">
        <x:v>mediterranean_europe</x:v>
      </x:c>
      <x:c r="B174" s="30" t="str">
        <x:v>mediterranean-europe-broad-draft-1</x:v>
      </x:c>
      <x:c r="C174" s="30" t="n">
        <x:v>14850</x:v>
      </x:c>
      <x:c r="D174" s="32" t="str">
        <x:v>European Starling</x:v>
      </x:c>
      <x:c r="E174" s="32" t="str">
        <x:v>Sturnus vulgaris</x:v>
      </x:c>
      <x:c r="F174" s="30" t="str">
        <x:v>common</x:v>
      </x:c>
      <x:c r="G174" s="30" t="str">
        <x:v>standard</x:v>
      </x:c>
      <x:c r="H174" s="30" t="str">
        <x:v>year-round</x:v>
      </x:c>
      <x:c r="I1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">
      <x:c r="A175" s="36" t="str">
        <x:v>mediterranean_europe</x:v>
      </x:c>
      <x:c r="B175" s="30" t="str">
        <x:v>mediterranean-europe-broad-draft-1</x:v>
      </x:c>
      <x:c r="C175" s="30" t="n">
        <x:v>17871</x:v>
      </x:c>
      <x:c r="D175" s="32" t="str">
        <x:v>Great Spotted Woodpecker</x:v>
      </x:c>
      <x:c r="E175" s="32" t="str">
        <x:v>Dendrocopos major</x:v>
      </x:c>
      <x:c r="F175" s="30" t="str">
        <x:v>common</x:v>
      </x:c>
      <x:c r="G175" s="30" t="str">
        <x:v>standard</x:v>
      </x:c>
      <x:c r="H175" s="30" t="str">
        <x:v>year-round</x:v>
      </x:c>
      <x:c r="I1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">
      <x:c r="A176" s="36" t="str">
        <x:v>mediterranean_europe</x:v>
      </x:c>
      <x:c r="B176" s="30" t="str">
        <x:v>mediterranean-europe-broad-draft-1</x:v>
      </x:c>
      <x:c r="C176" s="30" t="n">
        <x:v>558634</x:v>
      </x:c>
      <x:c r="D176" s="32" t="str">
        <x:v>Eurasian Linnet</x:v>
      </x:c>
      <x:c r="E176" s="32" t="str">
        <x:v>Linaria cannabina</x:v>
      </x:c>
      <x:c r="F176" s="30" t="str">
        <x:v>common</x:v>
      </x:c>
      <x:c r="G176" s="30" t="str">
        <x:v>standard</x:v>
      </x:c>
      <x:c r="H176" s="30" t="str">
        <x:v>year-round</x:v>
      </x:c>
      <x:c r="I1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">
      <x:c r="A177" s="36" t="str">
        <x:v>mediterranean_europe</x:v>
      </x:c>
      <x:c r="B177" s="30" t="str">
        <x:v>mediterranean-europe-broad-draft-1</x:v>
      </x:c>
      <x:c r="C177" s="30" t="n">
        <x:v>12822</x:v>
      </x:c>
      <x:c r="D177" s="32" t="str">
        <x:v>Northern Wheatear</x:v>
      </x:c>
      <x:c r="E177" s="32" t="str">
        <x:v>Oenanthe oenanthe</x:v>
      </x:c>
      <x:c r="F177" s="30" t="str">
        <x:v>common</x:v>
      </x:c>
      <x:c r="G177" s="30" t="str">
        <x:v>standard</x:v>
      </x:c>
      <x:c r="H177" s="30" t="str">
        <x:v>year-round</x:v>
      </x:c>
      <x:c r="I1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">
      <x:c r="A178" s="36" t="str">
        <x:v>mediterranean_europe</x:v>
      </x:c>
      <x:c r="B178" s="30" t="str">
        <x:v>mediterranean-europe-broad-draft-1</x:v>
      </x:c>
      <x:c r="C178" s="30" t="n">
        <x:v>144455</x:v>
      </x:c>
      <x:c r="D178" s="32" t="str">
        <x:v>Great Egret</x:v>
      </x:c>
      <x:c r="E178" s="32" t="str">
        <x:v>Ardea alba</x:v>
      </x:c>
      <x:c r="F178" s="30" t="str">
        <x:v>common</x:v>
      </x:c>
      <x:c r="G178" s="30" t="str">
        <x:v>standard</x:v>
      </x:c>
      <x:c r="H178" s="30" t="str">
        <x:v>year-round</x:v>
      </x:c>
      <x:c r="I1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">
      <x:c r="A179" s="36" t="str">
        <x:v>mediterranean_europe</x:v>
      </x:c>
      <x:c r="B179" s="30" t="str">
        <x:v>mediterranean-europe-broad-draft-1</x:v>
      </x:c>
      <x:c r="C179" s="30" t="n">
        <x:v>8010</x:v>
      </x:c>
      <x:c r="D179" s="32" t="str">
        <x:v>Common Raven</x:v>
      </x:c>
      <x:c r="E179" s="32" t="str">
        <x:v>Corvus corax</x:v>
      </x:c>
      <x:c r="F179" s="30" t="str">
        <x:v>common</x:v>
      </x:c>
      <x:c r="G179" s="30" t="str">
        <x:v>standard</x:v>
      </x:c>
      <x:c r="H179" s="30" t="str">
        <x:v>year-round</x:v>
      </x:c>
      <x:c r="I1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">
      <x:c r="A180" s="36" t="str">
        <x:v>mediterranean_europe</x:v>
      </x:c>
      <x:c r="B180" s="30" t="str">
        <x:v>mediterranean-europe-broad-draft-1</x:v>
      </x:c>
      <x:c r="C180" s="30" t="n">
        <x:v>5154</x:v>
      </x:c>
      <x:c r="D180" s="32" t="str">
        <x:v>Booted Eagle</x:v>
      </x:c>
      <x:c r="E180" s="32" t="str">
        <x:v>Hieraaetus pennatus</x:v>
      </x:c>
      <x:c r="F180" s="30" t="str">
        <x:v>common</x:v>
      </x:c>
      <x:c r="G180" s="30" t="str">
        <x:v>standard</x:v>
      </x:c>
      <x:c r="H180" s="30" t="str">
        <x:v>year-round</x:v>
      </x:c>
      <x:c r="I1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">
      <x:c r="A181" s="36" t="str">
        <x:v>mediterranean_europe</x:v>
      </x:c>
      <x:c r="B181" s="30" t="str">
        <x:v>mediterranean-europe-broad-draft-1</x:v>
      </x:c>
      <x:c r="C181" s="30" t="n">
        <x:v>3938</x:v>
      </x:c>
      <x:c r="D181" s="32" t="str">
        <x:v>Ruddy Turnstone</x:v>
      </x:c>
      <x:c r="E181" s="32" t="str">
        <x:v>Arenaria interpres</x:v>
      </x:c>
      <x:c r="F181" s="30" t="str">
        <x:v>common</x:v>
      </x:c>
      <x:c r="G181" s="30" t="str">
        <x:v>standard</x:v>
      </x:c>
      <x:c r="H181" s="30" t="str">
        <x:v>year-round</x:v>
      </x:c>
      <x:c r="I1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">
      <x:c r="A182" s="36" t="str">
        <x:v>mediterranean_europe</x:v>
      </x:c>
      <x:c r="B182" s="30" t="str">
        <x:v>mediterranean-europe-broad-draft-1</x:v>
      </x:c>
      <x:c r="C182" s="30" t="n">
        <x:v>2599</x:v>
      </x:c>
      <x:c r="D182" s="32" t="str">
        <x:v>Common Kingfisher</x:v>
      </x:c>
      <x:c r="E182" s="32" t="str">
        <x:v>Alcedo atthis</x:v>
      </x:c>
      <x:c r="F182" s="30" t="str">
        <x:v>common</x:v>
      </x:c>
      <x:c r="G182" s="30" t="str">
        <x:v>standard</x:v>
      </x:c>
      <x:c r="H182" s="30" t="str">
        <x:v>year-round</x:v>
      </x:c>
      <x:c r="I182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183">
      <x:c r="A183" s="36" t="str">
        <x:v>mediterranean_europe</x:v>
      </x:c>
      <x:c r="B183" s="30" t="str">
        <x:v>mediterranean-europe-broad-draft-1</x:v>
      </x:c>
      <x:c r="C183" s="30" t="n">
        <x:v>6921</x:v>
      </x:c>
      <x:c r="D183" s="32" t="str">
        <x:v>Mute Swan</x:v>
      </x:c>
      <x:c r="E183" s="32" t="str">
        <x:v>Cygnus olor</x:v>
      </x:c>
      <x:c r="F183" s="30" t="str">
        <x:v>common</x:v>
      </x:c>
      <x:c r="G183" s="30" t="str">
        <x:v>standard</x:v>
      </x:c>
      <x:c r="H183" s="30" t="str">
        <x:v>year-round</x:v>
      </x:c>
      <x:c r="I1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">
      <x:c r="A184" s="36" t="str">
        <x:v>mediterranean_europe</x:v>
      </x:c>
      <x:c r="B184" s="30" t="str">
        <x:v>mediterranean-europe-broad-draft-1</x:v>
      </x:c>
      <x:c r="C184" s="30" t="n">
        <x:v>13688</x:v>
      </x:c>
      <x:c r="D184" s="32" t="str">
        <x:v>Grey Wagtail</x:v>
      </x:c>
      <x:c r="E184" s="32" t="str">
        <x:v>Motacilla cinerea</x:v>
      </x:c>
      <x:c r="F184" s="30" t="str">
        <x:v>common</x:v>
      </x:c>
      <x:c r="G184" s="30" t="str">
        <x:v>standard</x:v>
      </x:c>
      <x:c r="H184" s="30" t="str">
        <x:v>year-round</x:v>
      </x:c>
      <x:c r="I1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">
      <x:c r="A185" s="36" t="str">
        <x:v>mediterranean_europe</x:v>
      </x:c>
      <x:c r="B185" s="30" t="str">
        <x:v>mediterranean-europe-broad-draft-1</x:v>
      </x:c>
      <x:c r="C185" s="30" t="n">
        <x:v>3756</x:v>
      </x:c>
      <x:c r="D185" s="32" t="str">
        <x:v>Glossy Ibis</x:v>
      </x:c>
      <x:c r="E185" s="32" t="str">
        <x:v>Plegadis falcinellus</x:v>
      </x:c>
      <x:c r="F185" s="30" t="str">
        <x:v>common</x:v>
      </x:c>
      <x:c r="G185" s="30" t="str">
        <x:v>standard</x:v>
      </x:c>
      <x:c r="H185" s="30" t="str">
        <x:v>year-round</x:v>
      </x:c>
      <x:c r="I1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">
      <x:c r="A186" s="36" t="str">
        <x:v>mediterranean_europe</x:v>
      </x:c>
      <x:c r="B186" s="30" t="str">
        <x:v>mediterranean-europe-broad-draft-1</x:v>
      </x:c>
      <x:c r="C186" s="30" t="n">
        <x:v>578607</x:v>
      </x:c>
      <x:c r="D186" s="32" t="str">
        <x:v>Crested Lark</x:v>
      </x:c>
      <x:c r="E186" s="32" t="str">
        <x:v>Galerida cristata</x:v>
      </x:c>
      <x:c r="F186" s="30" t="str">
        <x:v>common</x:v>
      </x:c>
      <x:c r="G186" s="30" t="str">
        <x:v>standard</x:v>
      </x:c>
      <x:c r="H186" s="30" t="str">
        <x:v>year-round</x:v>
      </x:c>
      <x:c r="I1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">
      <x:c r="A187" s="36" t="str">
        <x:v>mediterranean_europe</x:v>
      </x:c>
      <x:c r="B187" s="30" t="str">
        <x:v>mediterranean-europe-broad-draft-1</x:v>
      </x:c>
      <x:c r="C187" s="30" t="n">
        <x:v>12748</x:v>
      </x:c>
      <x:c r="D187" s="32" t="str">
        <x:v>Song Thrush</x:v>
      </x:c>
      <x:c r="E187" s="32" t="str">
        <x:v>Turdus philomelos</x:v>
      </x:c>
      <x:c r="F187" s="30" t="str">
        <x:v>common</x:v>
      </x:c>
      <x:c r="G187" s="30" t="str">
        <x:v>standard</x:v>
      </x:c>
      <x:c r="H187" s="30" t="str">
        <x:v>year-round</x:v>
      </x:c>
      <x:c r="I1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">
      <x:c r="A188" s="36" t="str">
        <x:v>mediterranean_europe</x:v>
      </x:c>
      <x:c r="B188" s="30" t="str">
        <x:v>mediterranean-europe-broad-draft-1</x:v>
      </x:c>
      <x:c r="C188" s="30" t="n">
        <x:v>3731</x:v>
      </x:c>
      <x:c r="D188" s="32" t="str">
        <x:v>Eurasian Spoonbill</x:v>
      </x:c>
      <x:c r="E188" s="32" t="str">
        <x:v>Platalea leucorodia</x:v>
      </x:c>
      <x:c r="F188" s="30" t="str">
        <x:v>common</x:v>
      </x:c>
      <x:c r="G188" s="30" t="str">
        <x:v>standard</x:v>
      </x:c>
      <x:c r="H188" s="30" t="str">
        <x:v>year-round</x:v>
      </x:c>
      <x:c r="I1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">
      <x:c r="A189" s="36" t="str">
        <x:v>mediterranean_europe</x:v>
      </x:c>
      <x:c r="B189" s="30" t="str">
        <x:v>mediterranean-europe-broad-draft-1</x:v>
      </x:c>
      <x:c r="C189" s="30" t="n">
        <x:v>144823</x:v>
      </x:c>
      <x:c r="D189" s="32" t="str">
        <x:v>Coal Tit</x:v>
      </x:c>
      <x:c r="E189" s="32" t="str">
        <x:v>Periparus ater</x:v>
      </x:c>
      <x:c r="F189" s="30" t="str">
        <x:v>common</x:v>
      </x:c>
      <x:c r="G189" s="30" t="str">
        <x:v>standard</x:v>
      </x:c>
      <x:c r="H189" s="30" t="str">
        <x:v>year-round</x:v>
      </x:c>
      <x:c r="I1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">
      <x:c r="A190" s="36" t="str">
        <x:v>mediterranean_europe</x:v>
      </x:c>
      <x:c r="B190" s="30" t="str">
        <x:v>mediterranean-europe-broad-draft-1</x:v>
      </x:c>
      <x:c r="C190" s="30" t="n">
        <x:v>19998</x:v>
      </x:c>
      <x:c r="D190" s="32" t="str">
        <x:v>Little Owl</x:v>
      </x:c>
      <x:c r="E190" s="32" t="str">
        <x:v>Athene noctua</x:v>
      </x:c>
      <x:c r="F190" s="30" t="str">
        <x:v>common</x:v>
      </x:c>
      <x:c r="G190" s="30" t="str">
        <x:v>standard</x:v>
      </x:c>
      <x:c r="H190" s="30" t="str">
        <x:v>year-round</x:v>
      </x:c>
      <x:c r="I1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">
      <x:c r="A191" s="36" t="str">
        <x:v>mediterranean_europe</x:v>
      </x:c>
      <x:c r="B191" s="30" t="str">
        <x:v>mediterranean-europe-broad-draft-1</x:v>
      </x:c>
      <x:c r="C191" s="30" t="n">
        <x:v>204512</x:v>
      </x:c>
      <x:c r="D191" s="32" t="str">
        <x:v>European Pied Flycatcher</x:v>
      </x:c>
      <x:c r="E191" s="32" t="str">
        <x:v>Ficedula hypoleuca</x:v>
      </x:c>
      <x:c r="F191" s="30" t="str">
        <x:v>common</x:v>
      </x:c>
      <x:c r="G191" s="30" t="str">
        <x:v>standard</x:v>
      </x:c>
      <x:c r="H191" s="30" t="str">
        <x:v>year-round</x:v>
      </x:c>
      <x:c r="I1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">
      <x:c r="A192" s="36" t="str">
        <x:v>mediterranean_europe</x:v>
      </x:c>
      <x:c r="B192" s="30" t="str">
        <x:v>mediterranean-europe-broad-draft-1</x:v>
      </x:c>
      <x:c r="C192" s="30" t="n">
        <x:v>12039</x:v>
      </x:c>
      <x:c r="D192" s="32" t="str">
        <x:v>Woodchat Shrike</x:v>
      </x:c>
      <x:c r="E192" s="32" t="str">
        <x:v>Lanius senator</x:v>
      </x:c>
      <x:c r="F192" s="30" t="str">
        <x:v>common</x:v>
      </x:c>
      <x:c r="G192" s="30" t="str">
        <x:v>standard</x:v>
      </x:c>
      <x:c r="H192" s="30" t="str">
        <x:v>year-round</x:v>
      </x:c>
      <x:c r="I1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">
      <x:c r="A193" s="36" t="str">
        <x:v>mediterranean_europe</x:v>
      </x:c>
      <x:c r="B193" s="30" t="str">
        <x:v>mediterranean-europe-broad-draft-1</x:v>
      </x:c>
      <x:c r="C193" s="30" t="n">
        <x:v>558438</x:v>
      </x:c>
      <x:c r="D193" s="32" t="str">
        <x:v>Northern Shoveler</x:v>
      </x:c>
      <x:c r="E193" s="32" t="str">
        <x:v>Spatula clypeata</x:v>
      </x:c>
      <x:c r="F193" s="30" t="str">
        <x:v>common</x:v>
      </x:c>
      <x:c r="G193" s="30" t="str">
        <x:v>standard</x:v>
      </x:c>
      <x:c r="H193" s="30" t="str">
        <x:v>year-round</x:v>
      </x:c>
      <x:c r="I1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">
      <x:c r="A194" s="36" t="str">
        <x:v>mediterranean_europe</x:v>
      </x:c>
      <x:c r="B194" s="30" t="str">
        <x:v>mediterranean-europe-broad-draft-1</x:v>
      </x:c>
      <x:c r="C194" s="30" t="n">
        <x:v>18911</x:v>
      </x:c>
      <x:c r="D194" s="32" t="str">
        <x:v>Rose-ringed Parakeet</x:v>
      </x:c>
      <x:c r="E194" s="32" t="str">
        <x:v>Psittacula krameri</x:v>
      </x:c>
      <x:c r="F194" s="30" t="str">
        <x:v>common</x:v>
      </x:c>
      <x:c r="G194" s="30" t="str">
        <x:v>standard</x:v>
      </x:c>
      <x:c r="H194" s="30" t="str">
        <x:v>year-round</x:v>
      </x:c>
      <x:c r="I1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">
      <x:c r="A195" s="36" t="str">
        <x:v>mediterranean_europe</x:v>
      </x:c>
      <x:c r="B195" s="30" t="str">
        <x:v>mediterranean-europe-broad-draft-1</x:v>
      </x:c>
      <x:c r="C195" s="30" t="n">
        <x:v>336399</x:v>
      </x:c>
      <x:c r="D195" s="32" t="str">
        <x:v>Eurasian Jackdaw</x:v>
      </x:c>
      <x:c r="E195" s="32" t="str">
        <x:v>Coloeus monedula</x:v>
      </x:c>
      <x:c r="F195" s="30" t="str">
        <x:v>common</x:v>
      </x:c>
      <x:c r="G195" s="30" t="str">
        <x:v>standard</x:v>
      </x:c>
      <x:c r="H195" s="30" t="str">
        <x:v>year-round</x:v>
      </x:c>
      <x:c r="I1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">
      <x:c r="A196" s="36" t="str">
        <x:v>mediterranean_europe</x:v>
      </x:c>
      <x:c r="B196" s="30" t="str">
        <x:v>mediterranean-europe-broad-draft-1</x:v>
      </x:c>
      <x:c r="C196" s="30" t="n">
        <x:v>204496</x:v>
      </x:c>
      <x:c r="D196" s="32" t="str">
        <x:v>Carrion Crow</x:v>
      </x:c>
      <x:c r="E196" s="32" t="str">
        <x:v>Corvus corone</x:v>
      </x:c>
      <x:c r="F196" s="30" t="str">
        <x:v>common</x:v>
      </x:c>
      <x:c r="G196" s="30" t="str">
        <x:v>standard</x:v>
      </x:c>
      <x:c r="H196" s="30" t="str">
        <x:v>year-round</x:v>
      </x:c>
      <x:c r="I1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">
      <x:c r="A197" s="36" t="str">
        <x:v>mediterranean_europe</x:v>
      </x:c>
      <x:c r="B197" s="30" t="str">
        <x:v>mediterranean-europe-broad-draft-1</x:v>
      </x:c>
      <x:c r="C197" s="30" t="n">
        <x:v>7697</x:v>
      </x:c>
      <x:c r="D197" s="32" t="str">
        <x:v>Zitting Cisticola</x:v>
      </x:c>
      <x:c r="E197" s="32" t="str">
        <x:v>Cisticola juncidis</x:v>
      </x:c>
      <x:c r="F197" s="30" t="str">
        <x:v>common</x:v>
      </x:c>
      <x:c r="G197" s="30" t="str">
        <x:v>standard</x:v>
      </x:c>
      <x:c r="H197" s="30" t="str">
        <x:v>year-round</x:v>
      </x:c>
      <x:c r="I1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">
      <x:c r="A198" s="36" t="str">
        <x:v>mediterranean_europe</x:v>
      </x:c>
      <x:c r="B198" s="30" t="str">
        <x:v>mediterranean-europe-broad-draft-1</x:v>
      </x:c>
      <x:c r="C198" s="30" t="n">
        <x:v>13851</x:v>
      </x:c>
      <x:c r="D198" s="32" t="str">
        <x:v>Eurasian Tree Sparrow</x:v>
      </x:c>
      <x:c r="E198" s="32" t="str">
        <x:v>Passer montanus</x:v>
      </x:c>
      <x:c r="F198" s="30" t="str">
        <x:v>common</x:v>
      </x:c>
      <x:c r="G198" s="30" t="str">
        <x:v>standard</x:v>
      </x:c>
      <x:c r="H198" s="30" t="str">
        <x:v>year-round</x:v>
      </x:c>
      <x:c r="I1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">
      <x:c r="A199" s="36" t="str">
        <x:v>mediterranean_europe</x:v>
      </x:c>
      <x:c r="B199" s="30" t="str">
        <x:v>mediterranean-europe-broad-draft-1</x:v>
      </x:c>
      <x:c r="C199" s="30" t="n">
        <x:v>6638</x:v>
      </x:c>
      <x:c r="D199" s="32" t="str">
        <x:v>Common Swift</x:v>
      </x:c>
      <x:c r="E199" s="32" t="str">
        <x:v>Apus apus</x:v>
      </x:c>
      <x:c r="F199" s="30" t="str">
        <x:v>common</x:v>
      </x:c>
      <x:c r="G199" s="30" t="str">
        <x:v>standard</x:v>
      </x:c>
      <x:c r="H199" s="30" t="str">
        <x:v>year-round</x:v>
      </x:c>
      <x:c r="I1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">
      <x:c r="A200" s="36" t="str">
        <x:v>mediterranean_europe</x:v>
      </x:c>
      <x:c r="B200" s="30" t="str">
        <x:v>mediterranean-europe-broad-draft-1</x:v>
      </x:c>
      <x:c r="C200" s="30" t="n">
        <x:v>3849</x:v>
      </x:c>
      <x:c r="D200" s="32" t="str">
        <x:v>Sanderling</x:v>
      </x:c>
      <x:c r="E200" s="32" t="str">
        <x:v>Calidris alba</x:v>
      </x:c>
      <x:c r="F200" s="30" t="str">
        <x:v>common</x:v>
      </x:c>
      <x:c r="G200" s="30" t="str">
        <x:v>standard</x:v>
      </x:c>
      <x:c r="H200" s="30" t="str">
        <x:v>year-round</x:v>
      </x:c>
      <x:c r="I2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">
      <x:c r="A201" s="36" t="str">
        <x:v>mediterranean_europe</x:v>
      </x:c>
      <x:c r="B201" s="30" t="str">
        <x:v>mediterranean-europe-broad-draft-1</x:v>
      </x:c>
      <x:c r="C201" s="30" t="n">
        <x:v>5382</x:v>
      </x:c>
      <x:c r="D201" s="32" t="str">
        <x:v>Cinereous Vulture</x:v>
      </x:c>
      <x:c r="E201" s="32" t="str">
        <x:v>Aegypius monachus</x:v>
      </x:c>
      <x:c r="F201" s="30" t="str">
        <x:v>common</x:v>
      </x:c>
      <x:c r="G201" s="30" t="str">
        <x:v>standard</x:v>
      </x:c>
      <x:c r="H201" s="30" t="str">
        <x:v>year-round</x:v>
      </x:c>
      <x:c r="I2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">
      <x:c r="A202" s="36" t="str">
        <x:v>mediterranean_europe</x:v>
      </x:c>
      <x:c r="B202" s="30" t="str">
        <x:v>mediterranean-europe-broad-draft-1</x:v>
      </x:c>
      <x:c r="C202" s="30" t="n">
        <x:v>7067</x:v>
      </x:c>
      <x:c r="D202" s="32" t="str">
        <x:v>Common Shelduck</x:v>
      </x:c>
      <x:c r="E202" s="32" t="str">
        <x:v>Tadorna tadorna</x:v>
      </x:c>
      <x:c r="F202" s="30" t="str">
        <x:v>common</x:v>
      </x:c>
      <x:c r="G202" s="30" t="str">
        <x:v>standard</x:v>
      </x:c>
      <x:c r="H202" s="30" t="str">
        <x:v>year-round</x:v>
      </x:c>
      <x:c r="I2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">
      <x:c r="A203" s="36" t="str">
        <x:v>mediterranean_europe</x:v>
      </x:c>
      <x:c r="B203" s="30" t="str">
        <x:v>mediterranean-europe-broad-draft-1</x:v>
      </x:c>
      <x:c r="C203" s="30" t="n">
        <x:v>4801</x:v>
      </x:c>
      <x:c r="D203" s="32" t="str">
        <x:v>Common Ringed Plover</x:v>
      </x:c>
      <x:c r="E203" s="32" t="str">
        <x:v>Charadrius hiaticula</x:v>
      </x:c>
      <x:c r="F203" s="30" t="str">
        <x:v>common</x:v>
      </x:c>
      <x:c r="G203" s="30" t="str">
        <x:v>standard</x:v>
      </x:c>
      <x:c r="H203" s="30" t="str">
        <x:v>year-round</x:v>
      </x:c>
      <x:c r="I2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">
      <x:c r="A204" s="36" t="str">
        <x:v>mediterranean_europe</x:v>
      </x:c>
      <x:c r="B204" s="30" t="str">
        <x:v>mediterranean-europe-broad-draft-1</x:v>
      </x:c>
      <x:c r="C204" s="30" t="n">
        <x:v>5242</x:v>
      </x:c>
      <x:c r="D204" s="32" t="str">
        <x:v>Short-toed Snake-Eagle</x:v>
      </x:c>
      <x:c r="E204" s="32" t="str">
        <x:v>Circaetus gallicus</x:v>
      </x:c>
      <x:c r="F204" s="30" t="str">
        <x:v>common</x:v>
      </x:c>
      <x:c r="G204" s="30" t="str">
        <x:v>standard</x:v>
      </x:c>
      <x:c r="H204" s="30" t="str">
        <x:v>year-round</x:v>
      </x:c>
      <x:c r="I2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">
      <x:c r="A205" s="36" t="str">
        <x:v>mediterranean_europe</x:v>
      </x:c>
      <x:c r="B205" s="30" t="str">
        <x:v>mediterranean-europe-broad-draft-1</x:v>
      </x:c>
      <x:c r="C205" s="30" t="n">
        <x:v>3857</x:v>
      </x:c>
      <x:c r="D205" s="32" t="str">
        <x:v>Dunlin</x:v>
      </x:c>
      <x:c r="E205" s="32" t="str">
        <x:v>Calidris alpina</x:v>
      </x:c>
      <x:c r="F205" s="30" t="str">
        <x:v>common</x:v>
      </x:c>
      <x:c r="G205" s="30" t="str">
        <x:v>standard</x:v>
      </x:c>
      <x:c r="H205" s="30" t="str">
        <x:v>year-round</x:v>
      </x:c>
      <x:c r="I2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">
      <x:c r="A206" s="36" t="str">
        <x:v>mediterranean_europe</x:v>
      </x:c>
      <x:c r="B206" s="30" t="str">
        <x:v>mediterranean-europe-broad-draft-1</x:v>
      </x:c>
      <x:c r="C206" s="30" t="n">
        <x:v>6937</x:v>
      </x:c>
      <x:c r="D206" s="32" t="str">
        <x:v>Green-winged Teal</x:v>
      </x:c>
      <x:c r="E206" s="32" t="str">
        <x:v>Anas crecca</x:v>
      </x:c>
      <x:c r="F206" s="30" t="str">
        <x:v>common</x:v>
      </x:c>
      <x:c r="G206" s="30" t="str">
        <x:v>standard</x:v>
      </x:c>
      <x:c r="H206" s="30" t="str">
        <x:v>year-round</x:v>
      </x:c>
      <x:c r="I2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">
      <x:c r="A207" s="36" t="str">
        <x:v>mediterranean_europe</x:v>
      </x:c>
      <x:c r="B207" s="30" t="str">
        <x:v>mediterranean-europe-broad-draft-1</x:v>
      </x:c>
      <x:c r="C207" s="30" t="n">
        <x:v>339684</x:v>
      </x:c>
      <x:c r="D207" s="32" t="str">
        <x:v>Iberian Magpie</x:v>
      </x:c>
      <x:c r="E207" s="32" t="str">
        <x:v>Cyanopica cooki</x:v>
      </x:c>
      <x:c r="F207" s="30" t="str">
        <x:v>common</x:v>
      </x:c>
      <x:c r="G207" s="30" t="str">
        <x:v>standard</x:v>
      </x:c>
      <x:c r="H207" s="30" t="str">
        <x:v>year-round</x:v>
      </x:c>
      <x:c r="I2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">
      <x:c r="A208" s="36" t="str">
        <x:v>mediterranean_europe</x:v>
      </x:c>
      <x:c r="B208" s="30" t="str">
        <x:v>mediterranean-europe-broad-draft-1</x:v>
      </x:c>
      <x:c r="C208" s="30" t="n">
        <x:v>144788</x:v>
      </x:c>
      <x:c r="D208" s="32" t="str">
        <x:v>Eurasian Crag-Martin</x:v>
      </x:c>
      <x:c r="E208" s="32" t="str">
        <x:v>Ptyonoprogne rupestris</x:v>
      </x:c>
      <x:c r="F208" s="30" t="str">
        <x:v>common</x:v>
      </x:c>
      <x:c r="G208" s="30" t="str">
        <x:v>standard</x:v>
      </x:c>
      <x:c r="H208" s="30" t="str">
        <x:v>year-round</x:v>
      </x:c>
      <x:c r="I2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">
      <x:c r="A209" s="36" t="str">
        <x:v>mediterranean_europe</x:v>
      </x:c>
      <x:c r="B209" s="30" t="str">
        <x:v>mediterranean-europe-broad-draft-1</x:v>
      </x:c>
      <x:c r="C209" s="30" t="n">
        <x:v>13729</x:v>
      </x:c>
      <x:c r="D209" s="32" t="str">
        <x:v>Meadow Pipit</x:v>
      </x:c>
      <x:c r="E209" s="32" t="str">
        <x:v>Anthus pratensis</x:v>
      </x:c>
      <x:c r="F209" s="30" t="str">
        <x:v>common</x:v>
      </x:c>
      <x:c r="G209" s="30" t="str">
        <x:v>standard</x:v>
      </x:c>
      <x:c r="H209" s="30" t="str">
        <x:v>year-round</x:v>
      </x:c>
      <x:c r="I2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">
      <x:c r="A210" s="36" t="str">
        <x:v>mediterranean_europe</x:v>
      </x:c>
      <x:c r="B210" s="30" t="str">
        <x:v>mediterranean-europe-broad-draft-1</x:v>
      </x:c>
      <x:c r="C210" s="30" t="n">
        <x:v>72486</x:v>
      </x:c>
      <x:c r="D210" s="32" t="str">
        <x:v>Egyptian Goose</x:v>
      </x:c>
      <x:c r="E210" s="32" t="str">
        <x:v>Alopochen aegyptiaca</x:v>
      </x:c>
      <x:c r="F210" s="30" t="str">
        <x:v>common</x:v>
      </x:c>
      <x:c r="G210" s="30" t="str">
        <x:v>standard</x:v>
      </x:c>
      <x:c r="H210" s="30" t="str">
        <x:v>year-round</x:v>
      </x:c>
      <x:c r="I2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">
      <x:c r="A211" s="36" t="str">
        <x:v>mediterranean_europe</x:v>
      </x:c>
      <x:c r="B211" s="30" t="str">
        <x:v>mediterranean-europe-broad-draft-1</x:v>
      </x:c>
      <x:c r="C211" s="30" t="n">
        <x:v>3878</x:v>
      </x:c>
      <x:c r="D211" s="32" t="str">
        <x:v>Common Greenshank</x:v>
      </x:c>
      <x:c r="E211" s="32" t="str">
        <x:v>Tringa nebularia</x:v>
      </x:c>
      <x:c r="F211" s="30" t="str">
        <x:v>common</x:v>
      </x:c>
      <x:c r="G211" s="30" t="str">
        <x:v>standard</x:v>
      </x:c>
      <x:c r="H211" s="30" t="str">
        <x:v>year-round</x:v>
      </x:c>
      <x:c r="I2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">
      <x:c r="A212" s="36" t="str">
        <x:v>mediterranean_europe</x:v>
      </x:c>
      <x:c r="B212" s="30" t="str">
        <x:v>mediterranean-europe-broad-draft-1</x:v>
      </x:c>
      <x:c r="C212" s="30" t="n">
        <x:v>867</x:v>
      </x:c>
      <x:c r="D212" s="32" t="str">
        <x:v>Red-legged Partridge</x:v>
      </x:c>
      <x:c r="E212" s="32" t="str">
        <x:v>Alectoris rufa</x:v>
      </x:c>
      <x:c r="F212" s="30" t="str">
        <x:v>common</x:v>
      </x:c>
      <x:c r="G212" s="30" t="str">
        <x:v>standard</x:v>
      </x:c>
      <x:c r="H212" s="30" t="str">
        <x:v>year-round</x:v>
      </x:c>
      <x:c r="I2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">
      <x:c r="A213" s="36" t="str">
        <x:v>mediterranean_europe</x:v>
      </x:c>
      <x:c r="B213" s="30" t="str">
        <x:v>mediterranean-europe-broad-draft-1</x:v>
      </x:c>
      <x:c r="C213" s="30" t="n">
        <x:v>9192</x:v>
      </x:c>
      <x:c r="D213" s="32" t="str">
        <x:v>Cirl Bunting</x:v>
      </x:c>
      <x:c r="E213" s="32" t="str">
        <x:v>Emberiza cirlus</x:v>
      </x:c>
      <x:c r="F213" s="30" t="str">
        <x:v>common</x:v>
      </x:c>
      <x:c r="G213" s="30" t="str">
        <x:v>standard</x:v>
      </x:c>
      <x:c r="H213" s="30" t="str">
        <x:v>year-round</x:v>
      </x:c>
      <x:c r="I2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">
      <x:c r="A214" s="36" t="str">
        <x:v>mediterranean_europe</x:v>
      </x:c>
      <x:c r="B214" s="30" t="str">
        <x:v>mediterranean-europe-broad-draft-1</x:v>
      </x:c>
      <x:c r="C214" s="30" t="n">
        <x:v>12038</x:v>
      </x:c>
      <x:c r="D214" s="32" t="str">
        <x:v>Red-backed Shrike</x:v>
      </x:c>
      <x:c r="E214" s="32" t="str">
        <x:v>Lanius collurio</x:v>
      </x:c>
      <x:c r="F214" s="30" t="str">
        <x:v>common</x:v>
      </x:c>
      <x:c r="G214" s="30" t="str">
        <x:v>standard</x:v>
      </x:c>
      <x:c r="H214" s="30" t="str">
        <x:v>year-round</x:v>
      </x:c>
      <x:c r="I2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">
      <x:c r="A215" s="36" t="str">
        <x:v>mediterranean_europe</x:v>
      </x:c>
      <x:c r="B215" s="30" t="str">
        <x:v>mediterranean-europe-broad-draft-1</x:v>
      </x:c>
      <x:c r="C215" s="30" t="n">
        <x:v>3879</x:v>
      </x:c>
      <x:c r="D215" s="32" t="str">
        <x:v>Common Redshank</x:v>
      </x:c>
      <x:c r="E215" s="32" t="str">
        <x:v>Tringa totanus</x:v>
      </x:c>
      <x:c r="F215" s="30" t="str">
        <x:v>common</x:v>
      </x:c>
      <x:c r="G215" s="30" t="str">
        <x:v>standard</x:v>
      </x:c>
      <x:c r="H215" s="30" t="str">
        <x:v>year-round</x:v>
      </x:c>
      <x:c r="I2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">
      <x:c r="A216" s="36" t="str">
        <x:v>mediterranean_europe</x:v>
      </x:c>
      <x:c r="B216" s="30" t="str">
        <x:v>mediterranean-europe-broad-draft-1</x:v>
      </x:c>
      <x:c r="C216" s="30" t="n">
        <x:v>558439</x:v>
      </x:c>
      <x:c r="D216" s="32" t="str">
        <x:v>Gadwall</x:v>
      </x:c>
      <x:c r="E216" s="32" t="str">
        <x:v>Mareca strepera</x:v>
      </x:c>
      <x:c r="F216" s="30" t="str">
        <x:v>common</x:v>
      </x:c>
      <x:c r="G216" s="30" t="str">
        <x:v>standard</x:v>
      </x:c>
      <x:c r="H216" s="30" t="str">
        <x:v>year-round</x:v>
      </x:c>
      <x:c r="I2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">
      <x:c r="A217" s="36" t="str">
        <x:v>mediterranean_europe</x:v>
      </x:c>
      <x:c r="B217" s="30" t="str">
        <x:v>mediterranean-europe-broad-draft-1</x:v>
      </x:c>
      <x:c r="C217" s="30" t="n">
        <x:v>145363</x:v>
      </x:c>
      <x:c r="D217" s="32" t="str">
        <x:v>Eurasian Wren</x:v>
      </x:c>
      <x:c r="E217" s="32" t="str">
        <x:v>Troglodytes troglodytes</x:v>
      </x:c>
      <x:c r="F217" s="30" t="str">
        <x:v>common</x:v>
      </x:c>
      <x:c r="G217" s="30" t="str">
        <x:v>standard</x:v>
      </x:c>
      <x:c r="H217" s="30" t="str">
        <x:v>year-round</x:v>
      </x:c>
      <x:c r="I2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">
      <x:c r="A218" s="36" t="str">
        <x:v>mediterranean_europe</x:v>
      </x:c>
      <x:c r="B218" s="30" t="str">
        <x:v>mediterranean-europe-broad-draft-1</x:v>
      </x:c>
      <x:c r="C218" s="30" t="n">
        <x:v>14824</x:v>
      </x:c>
      <x:c r="D218" s="32" t="str">
        <x:v>Eurasian Nuthatch</x:v>
      </x:c>
      <x:c r="E218" s="32" t="str">
        <x:v>Sitta europaea</x:v>
      </x:c>
      <x:c r="F218" s="30" t="str">
        <x:v>common</x:v>
      </x:c>
      <x:c r="G218" s="30" t="str">
        <x:v>standard</x:v>
      </x:c>
      <x:c r="H218" s="30" t="str">
        <x:v>year-round</x:v>
      </x:c>
      <x:c r="I2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">
      <x:c r="A219" s="36" t="str">
        <x:v>mediterranean_europe</x:v>
      </x:c>
      <x:c r="B219" s="30" t="str">
        <x:v>mediterranean-europe-broad-draft-1</x:v>
      </x:c>
      <x:c r="C219" s="30" t="n">
        <x:v>4981</x:v>
      </x:c>
      <x:c r="D219" s="32" t="str">
        <x:v>Black-crowned Night Heron</x:v>
      </x:c>
      <x:c r="E219" s="32" t="str">
        <x:v>Nycticorax nycticorax</x:v>
      </x:c>
      <x:c r="F219" s="30" t="str">
        <x:v>common</x:v>
      </x:c>
      <x:c r="G219" s="30" t="str">
        <x:v>standard</x:v>
      </x:c>
      <x:c r="H219" s="30" t="str">
        <x:v>year-round</x:v>
      </x:c>
      <x:c r="I2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">
      <x:c r="A220" s="36" t="str">
        <x:v>mediterranean_europe</x:v>
      </x:c>
      <x:c r="B220" s="30" t="str">
        <x:v>mediterranean-europe-broad-draft-1</x:v>
      </x:c>
      <x:c r="C220" s="30" t="n">
        <x:v>4857</x:v>
      </x:c>
      <x:c r="D220" s="32" t="str">
        <x:v>Northern Lapwing</x:v>
      </x:c>
      <x:c r="E220" s="32" t="str">
        <x:v>Vanellus vanellus</x:v>
      </x:c>
      <x:c r="F220" s="30" t="str">
        <x:v>common</x:v>
      </x:c>
      <x:c r="G220" s="30" t="str">
        <x:v>standard</x:v>
      </x:c>
      <x:c r="H220" s="30" t="str">
        <x:v>year-round</x:v>
      </x:c>
      <x:c r="I2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">
      <x:c r="A221" s="36" t="str">
        <x:v>mediterranean_europe</x:v>
      </x:c>
      <x:c r="B221" s="30" t="str">
        <x:v>mediterranean-europe-broad-draft-1</x:v>
      </x:c>
      <x:c r="C221" s="30" t="n">
        <x:v>7045</x:v>
      </x:c>
      <x:c r="D221" s="32" t="str">
        <x:v>Common Pochard</x:v>
      </x:c>
      <x:c r="E221" s="32" t="str">
        <x:v>Aythya ferina</x:v>
      </x:c>
      <x:c r="F221" s="30" t="str">
        <x:v>common</x:v>
      </x:c>
      <x:c r="G221" s="30" t="str">
        <x:v>standard</x:v>
      </x:c>
      <x:c r="H221" s="30" t="str">
        <x:v>year-round</x:v>
      </x:c>
      <x:c r="I2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">
      <x:c r="A222" s="36" t="str">
        <x:v>mediterranean_europe</x:v>
      </x:c>
      <x:c r="B222" s="30" t="str">
        <x:v>mediterranean-europe-broad-draft-1</x:v>
      </x:c>
      <x:c r="C222" s="30" t="n">
        <x:v>1505620</x:v>
      </x:c>
      <x:c r="D222" s="32" t="str">
        <x:v>Kentish Plover</x:v>
      </x:c>
      <x:c r="E222" s="32" t="str">
        <x:v>Anarhynchus alexandrinus</x:v>
      </x:c>
      <x:c r="F222" s="30" t="str">
        <x:v>common</x:v>
      </x:c>
      <x:c r="G222" s="30" t="str">
        <x:v>standard</x:v>
      </x:c>
      <x:c r="H222" s="30" t="str">
        <x:v>year-round</x:v>
      </x:c>
      <x:c r="I2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">
      <x:c r="A223" s="36" t="str">
        <x:v>mediterranean_europe</x:v>
      </x:c>
      <x:c r="B223" s="30" t="str">
        <x:v>mediterranean-europe-broad-draft-1</x:v>
      </x:c>
      <x:c r="C223" s="30" t="n">
        <x:v>13079</x:v>
      </x:c>
      <x:c r="D223" s="32" t="str">
        <x:v>Common Nightingale</x:v>
      </x:c>
      <x:c r="E223" s="32" t="str">
        <x:v>Luscinia megarhynchos</x:v>
      </x:c>
      <x:c r="F223" s="30" t="str">
        <x:v>common</x:v>
      </x:c>
      <x:c r="G223" s="30" t="str">
        <x:v>standard</x:v>
      </x:c>
      <x:c r="H223" s="30" t="str">
        <x:v>year-round</x:v>
      </x:c>
      <x:c r="I2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">
      <x:c r="A224" s="36" t="str">
        <x:v>mediterranean_europe</x:v>
      </x:c>
      <x:c r="B224" s="30" t="str">
        <x:v>mediterranean-europe-broad-draft-1</x:v>
      </x:c>
      <x:c r="C224" s="30" t="n">
        <x:v>979813</x:v>
      </x:c>
      <x:c r="D224" s="32" t="str">
        <x:v>Pygmy Cormorant</x:v>
      </x:c>
      <x:c r="E224" s="32" t="str">
        <x:v>Microcarbo pygmaeus</x:v>
      </x:c>
      <x:c r="F224" s="30" t="str">
        <x:v>common</x:v>
      </x:c>
      <x:c r="G224" s="30" t="str">
        <x:v>standard</x:v>
      </x:c>
      <x:c r="H224" s="30" t="str">
        <x:v>year-round</x:v>
      </x:c>
      <x:c r="I2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">
      <x:c r="A225" s="36" t="str">
        <x:v>mediterranean_europe</x:v>
      </x:c>
      <x:c r="B225" s="30" t="str">
        <x:v>mediterranean-europe-broad-draft-1</x:v>
      </x:c>
      <x:c r="C225" s="30" t="n">
        <x:v>4883</x:v>
      </x:c>
      <x:c r="D225" s="32" t="str">
        <x:v>Pied Avocet</x:v>
      </x:c>
      <x:c r="E225" s="32" t="str">
        <x:v>Recurvirostra avosetta</x:v>
      </x:c>
      <x:c r="F225" s="30" t="str">
        <x:v>common</x:v>
      </x:c>
      <x:c r="G225" s="30" t="str">
        <x:v>standard</x:v>
      </x:c>
      <x:c r="H225" s="30" t="str">
        <x:v>year-round</x:v>
      </x:c>
      <x:c r="I2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">
      <x:c r="A226" s="36" t="str">
        <x:v>mediterranean_europe</x:v>
      </x:c>
      <x:c r="B226" s="30" t="str">
        <x:v>mediterranean-europe-broad-draft-1</x:v>
      </x:c>
      <x:c r="C226" s="30" t="n">
        <x:v>1580336</x:v>
      </x:c>
      <x:c r="D226" s="32" t="str">
        <x:v>Little Ringed Plover</x:v>
      </x:c>
      <x:c r="E226" s="32" t="str">
        <x:v>Thinornis dubius</x:v>
      </x:c>
      <x:c r="F226" s="30" t="str">
        <x:v>common</x:v>
      </x:c>
      <x:c r="G226" s="30" t="str">
        <x:v>standard</x:v>
      </x:c>
      <x:c r="H226" s="30" t="str">
        <x:v>year-round</x:v>
      </x:c>
      <x:c r="I2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">
      <x:c r="A227" s="36" t="str">
        <x:v>mediterranean_europe</x:v>
      </x:c>
      <x:c r="B227" s="30" t="str">
        <x:v>mediterranean-europe-broad-draft-1</x:v>
      </x:c>
      <x:c r="C227" s="30" t="n">
        <x:v>41</x:v>
      </x:c>
      <x:c r="D227" s="32" t="str">
        <x:v>Common Crane</x:v>
      </x:c>
      <x:c r="E227" s="32" t="str">
        <x:v>Grus grus</x:v>
      </x:c>
      <x:c r="F227" s="30" t="str">
        <x:v>common</x:v>
      </x:c>
      <x:c r="G227" s="30" t="str">
        <x:v>standard</x:v>
      </x:c>
      <x:c r="H227" s="30" t="str">
        <x:v>year-round</x:v>
      </x:c>
      <x:c r="I2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">
      <x:c r="A228" s="36" t="str">
        <x:v>mediterranean_europe</x:v>
      </x:c>
      <x:c r="B228" s="30" t="str">
        <x:v>mediterranean-europe-broad-draft-1</x:v>
      </x:c>
      <x:c r="C228" s="30" t="n">
        <x:v>7462</x:v>
      </x:c>
      <x:c r="D228" s="32" t="str">
        <x:v>Short-toed Treecreeper</x:v>
      </x:c>
      <x:c r="E228" s="32" t="str">
        <x:v>Certhia brachydactyla</x:v>
      </x:c>
      <x:c r="F228" s="30" t="str">
        <x:v>common</x:v>
      </x:c>
      <x:c r="G228" s="30" t="str">
        <x:v>standard</x:v>
      </x:c>
      <x:c r="H228" s="30" t="str">
        <x:v>year-round</x:v>
      </x:c>
      <x:c r="I2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">
      <x:c r="A229" s="36" t="str">
        <x:v>mediterranean_europe</x:v>
      </x:c>
      <x:c r="B229" s="30" t="str">
        <x:v>mediterranean-europe-broad-draft-1</x:v>
      </x:c>
      <x:c r="C229" s="30" t="n">
        <x:v>1289604</x:v>
      </x:c>
      <x:c r="D229" s="32" t="str">
        <x:v>European Shag</x:v>
      </x:c>
      <x:c r="E229" s="32" t="str">
        <x:v>Gulosus aristotelis</x:v>
      </x:c>
      <x:c r="F229" s="30" t="str">
        <x:v>common</x:v>
      </x:c>
      <x:c r="G229" s="30" t="str">
        <x:v>standard</x:v>
      </x:c>
      <x:c r="H229" s="30" t="str">
        <x:v>year-round</x:v>
      </x:c>
      <x:c r="I2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">
      <x:c r="A230" s="36" t="str">
        <x:v>mediterranean_europe</x:v>
      </x:c>
      <x:c r="B230" s="30" t="str">
        <x:v>mediterranean-europe-broad-draft-1</x:v>
      </x:c>
      <x:c r="C230" s="30" t="n">
        <x:v>144517</x:v>
      </x:c>
      <x:c r="D230" s="32" t="str">
        <x:v>Mediterranean Gull</x:v>
      </x:c>
      <x:c r="E230" s="32" t="str">
        <x:v>Ichthyaetus melanocephalus</x:v>
      </x:c>
      <x:c r="F230" s="30" t="str">
        <x:v>common</x:v>
      </x:c>
      <x:c r="G230" s="30" t="str">
        <x:v>standard</x:v>
      </x:c>
      <x:c r="H230" s="30" t="str">
        <x:v>year-round</x:v>
      </x:c>
      <x:c r="I2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">
      <x:c r="A231" s="36" t="str">
        <x:v>mediterranean_europe</x:v>
      </x:c>
      <x:c r="B231" s="30" t="str">
        <x:v>mediterranean-europe-broad-draft-1</x:v>
      </x:c>
      <x:c r="C231" s="30" t="n">
        <x:v>5106</x:v>
      </x:c>
      <x:c r="D231" s="32" t="str">
        <x:v>Eurasian Sparrowhawk</x:v>
      </x:c>
      <x:c r="E231" s="32" t="str">
        <x:v>Accipiter nisus</x:v>
      </x:c>
      <x:c r="F231" s="30" t="str">
        <x:v>common</x:v>
      </x:c>
      <x:c r="G231" s="30" t="str">
        <x:v>standard</x:v>
      </x:c>
      <x:c r="H231" s="30" t="str">
        <x:v>year-round</x:v>
      </x:c>
      <x:c r="I2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">
      <x:c r="A232" s="36" t="str">
        <x:v>mediterranean_europe</x:v>
      </x:c>
      <x:c r="B232" s="30" t="str">
        <x:v>mediterranean-europe-broad-draft-1</x:v>
      </x:c>
      <x:c r="C232" s="30" t="n">
        <x:v>12992</x:v>
      </x:c>
      <x:c r="D232" s="32" t="str">
        <x:v>Common Redstart</x:v>
      </x:c>
      <x:c r="E232" s="32" t="str">
        <x:v>Phoenicurus phoenicurus</x:v>
      </x:c>
      <x:c r="F232" s="30" t="str">
        <x:v>common</x:v>
      </x:c>
      <x:c r="G232" s="30" t="str">
        <x:v>standard</x:v>
      </x:c>
      <x:c r="H232" s="30" t="str">
        <x:v>year-round</x:v>
      </x:c>
      <x:c r="I2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">
      <x:c r="A233" s="36" t="str">
        <x:v>mediterranean_europe</x:v>
      </x:c>
      <x:c r="B233" s="30" t="str">
        <x:v>mediterranean-europe-broad-draft-1</x:v>
      </x:c>
      <x:c r="C233" s="30" t="n">
        <x:v>2938</x:v>
      </x:c>
      <x:c r="D233" s="32" t="str">
        <x:v>European Turtle-Dove</x:v>
      </x:c>
      <x:c r="E233" s="32" t="str">
        <x:v>Streptopelia turtur</x:v>
      </x:c>
      <x:c r="F233" s="30" t="str">
        <x:v>common</x:v>
      </x:c>
      <x:c r="G233" s="30" t="str">
        <x:v>standard</x:v>
      </x:c>
      <x:c r="H233" s="30" t="str">
        <x:v>year-round</x:v>
      </x:c>
      <x:c r="I2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">
      <x:c r="A234" s="36" t="str">
        <x:v>mediterranean_europe</x:v>
      </x:c>
      <x:c r="B234" s="30" t="str">
        <x:v>mediterranean-europe-broad-draft-1</x:v>
      </x:c>
      <x:c r="C234" s="30" t="n">
        <x:v>117097</x:v>
      </x:c>
      <x:c r="D234" s="32" t="str">
        <x:v>Common Firecrest</x:v>
      </x:c>
      <x:c r="E234" s="32" t="str">
        <x:v>Regulus ignicapilla</x:v>
      </x:c>
      <x:c r="F234" s="30" t="str">
        <x:v>common</x:v>
      </x:c>
      <x:c r="G234" s="30" t="str">
        <x:v>standard</x:v>
      </x:c>
      <x:c r="H234" s="30" t="str">
        <x:v>year-round</x:v>
      </x:c>
      <x:c r="I2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">
      <x:c r="A235" s="36" t="str">
        <x:v>mediterranean_europe</x:v>
      </x:c>
      <x:c r="B235" s="30" t="str">
        <x:v>mediterranean-europe-broad-draft-1</x:v>
      </x:c>
      <x:c r="C235" s="30" t="n">
        <x:v>3901</x:v>
      </x:c>
      <x:c r="D235" s="32" t="str">
        <x:v>Eurasian Whimbrel</x:v>
      </x:c>
      <x:c r="E235" s="32" t="str">
        <x:v>Numenius phaeopus</x:v>
      </x:c>
      <x:c r="F235" s="30" t="str">
        <x:v>common</x:v>
      </x:c>
      <x:c r="G235" s="30" t="str">
        <x:v>standard</x:v>
      </x:c>
      <x:c r="H235" s="30" t="str">
        <x:v>year-round</x:v>
      </x:c>
      <x:c r="I2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">
      <x:c r="A236" s="36" t="str">
        <x:v>mediterranean_europe</x:v>
      </x:c>
      <x:c r="B236" s="30" t="str">
        <x:v>mediterranean-europe-broad-draft-1</x:v>
      </x:c>
      <x:c r="C236" s="30" t="n">
        <x:v>4951</x:v>
      </x:c>
      <x:c r="D236" s="32" t="str">
        <x:v>Purple Heron</x:v>
      </x:c>
      <x:c r="E236" s="32" t="str">
        <x:v>Ardea purpurea</x:v>
      </x:c>
      <x:c r="F236" s="30" t="str">
        <x:v>common</x:v>
      </x:c>
      <x:c r="G236" s="30" t="str">
        <x:v>standard</x:v>
      </x:c>
      <x:c r="H236" s="30" t="str">
        <x:v>year-round</x:v>
      </x:c>
      <x:c r="I2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">
      <x:c r="A237" s="36" t="str">
        <x:v>mediterranean_europe</x:v>
      </x:c>
      <x:c r="B237" s="30" t="str">
        <x:v>mediterranean-europe-broad-draft-1</x:v>
      </x:c>
      <x:c r="C237" s="30" t="n">
        <x:v>204545</x:v>
      </x:c>
      <x:c r="D237" s="32" t="str">
        <x:v>Western Yellow Wagtail</x:v>
      </x:c>
      <x:c r="E237" s="32" t="str">
        <x:v>Motacilla flava</x:v>
      </x:c>
      <x:c r="F237" s="30" t="str">
        <x:v>common</x:v>
      </x:c>
      <x:c r="G237" s="30" t="str">
        <x:v>standard</x:v>
      </x:c>
      <x:c r="H237" s="30" t="str">
        <x:v>year-round</x:v>
      </x:c>
      <x:c r="I2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">
      <x:c r="A238" s="36" t="str">
        <x:v>mediterranean_europe</x:v>
      </x:c>
      <x:c r="B238" s="30" t="str">
        <x:v>mediterranean-europe-broad-draft-1</x:v>
      </x:c>
      <x:c r="C238" s="30" t="n">
        <x:v>13854</x:v>
      </x:c>
      <x:c r="D238" s="32" t="str">
        <x:v>Spanish Sparrow</x:v>
      </x:c>
      <x:c r="E238" s="32" t="str">
        <x:v>Passer hispaniolensis</x:v>
      </x:c>
      <x:c r="F238" s="30" t="str">
        <x:v>common</x:v>
      </x:c>
      <x:c r="G238" s="30" t="str">
        <x:v>standard</x:v>
      </x:c>
      <x:c r="H238" s="30" t="str">
        <x:v>year-round</x:v>
      </x:c>
      <x:c r="I2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">
      <x:c r="A239" s="36" t="str">
        <x:v>mediterranean_europe</x:v>
      </x:c>
      <x:c r="B239" s="30" t="str">
        <x:v>mediterranean-europe-broad-draft-1</x:v>
      </x:c>
      <x:c r="C239" s="30" t="n">
        <x:v>144522</x:v>
      </x:c>
      <x:c r="D239" s="32" t="str">
        <x:v>Audouin's Gull</x:v>
      </x:c>
      <x:c r="E239" s="32" t="str">
        <x:v>Ichthyaetus audouinii</x:v>
      </x:c>
      <x:c r="F239" s="30" t="str">
        <x:v>common</x:v>
      </x:c>
      <x:c r="G239" s="30" t="str">
        <x:v>standard</x:v>
      </x:c>
      <x:c r="H239" s="30" t="str">
        <x:v>year-round</x:v>
      </x:c>
      <x:c r="I2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">
      <x:c r="A240" s="36" t="str">
        <x:v>mediterranean_europe</x:v>
      </x:c>
      <x:c r="B240" s="30" t="str">
        <x:v>mediterranean-europe-broad-draft-1</x:v>
      </x:c>
      <x:c r="C240" s="30" t="n">
        <x:v>981</x:v>
      </x:c>
      <x:c r="D240" s="32" t="str">
        <x:v>Ring-necked Pheasant</x:v>
      </x:c>
      <x:c r="E240" s="32" t="str">
        <x:v>Phasianus colchicus</x:v>
      </x:c>
      <x:c r="F240" s="30" t="str">
        <x:v>common</x:v>
      </x:c>
      <x:c r="G240" s="30" t="str">
        <x:v>standard</x:v>
      </x:c>
      <x:c r="H240" s="30" t="str">
        <x:v>year-round</x:v>
      </x:c>
      <x:c r="I2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">
      <x:c r="A241" s="36" t="str">
        <x:v>mediterranean_europe</x:v>
      </x:c>
      <x:c r="B241" s="30" t="str">
        <x:v>mediterranean-europe-broad-draft-1</x:v>
      </x:c>
      <x:c r="C241" s="30" t="n">
        <x:v>7122</x:v>
      </x:c>
      <x:c r="D241" s="32" t="str">
        <x:v>Red-crested Pochard</x:v>
      </x:c>
      <x:c r="E241" s="32" t="str">
        <x:v>Netta rufina</x:v>
      </x:c>
      <x:c r="F241" s="30" t="str">
        <x:v>common</x:v>
      </x:c>
      <x:c r="G241" s="30" t="str">
        <x:v>standard</x:v>
      </x:c>
      <x:c r="H241" s="30" t="str">
        <x:v>year-round</x:v>
      </x:c>
      <x:c r="I2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">
      <x:c r="A242" s="36" t="str">
        <x:v>mediterranean_europe</x:v>
      </x:c>
      <x:c r="B242" s="30" t="str">
        <x:v>mediterranean-europe-broad-draft-1</x:v>
      </x:c>
      <x:c r="C242" s="30" t="n">
        <x:v>4450</x:v>
      </x:c>
      <x:c r="D242" s="32" t="str">
        <x:v>Common Tern</x:v>
      </x:c>
      <x:c r="E242" s="32" t="str">
        <x:v>Sterna hirundo</x:v>
      </x:c>
      <x:c r="F242" s="30" t="str">
        <x:v>common</x:v>
      </x:c>
      <x:c r="G242" s="30" t="str">
        <x:v>standard</x:v>
      </x:c>
      <x:c r="H242" s="30" t="str">
        <x:v>year-round</x:v>
      </x:c>
      <x:c r="I2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">
      <x:c r="A243" s="36" t="str">
        <x:v>mediterranean_europe</x:v>
      </x:c>
      <x:c r="B243" s="30" t="str">
        <x:v>mediterranean-europe-broad-draft-1</x:v>
      </x:c>
      <x:c r="C243" s="30" t="n">
        <x:v>5325</x:v>
      </x:c>
      <x:c r="D243" s="32" t="str">
        <x:v>European Honey-buzzard</x:v>
      </x:c>
      <x:c r="E243" s="32" t="str">
        <x:v>Pernis apivorus</x:v>
      </x:c>
      <x:c r="F243" s="30" t="str">
        <x:v>common</x:v>
      </x:c>
      <x:c r="G243" s="30" t="str">
        <x:v>standard</x:v>
      </x:c>
      <x:c r="H243" s="30" t="str">
        <x:v>year-round</x:v>
      </x:c>
      <x:c r="I2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">
      <x:c r="A244" s="36" t="str">
        <x:v>mediterranean_europe</x:v>
      </x:c>
      <x:c r="B244" s="30" t="str">
        <x:v>mediterranean-europe-broad-draft-1</x:v>
      </x:c>
      <x:c r="C244" s="30" t="n">
        <x:v>4892</x:v>
      </x:c>
      <x:c r="D244" s="32" t="str">
        <x:v>Black-bellied Plover</x:v>
      </x:c>
      <x:c r="E244" s="32" t="str">
        <x:v>Pluvialis squatarola</x:v>
      </x:c>
      <x:c r="F244" s="30" t="str">
        <x:v>common</x:v>
      </x:c>
      <x:c r="G244" s="30" t="str">
        <x:v>standard</x:v>
      </x:c>
      <x:c r="H244" s="30" t="str">
        <x:v>year-round</x:v>
      </x:c>
      <x:c r="I2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">
      <x:c r="A245" s="36" t="str">
        <x:v>mediterranean_europe</x:v>
      </x:c>
      <x:c r="B245" s="30" t="str">
        <x:v>mediterranean-europe-broad-draft-1</x:v>
      </x:c>
      <x:c r="C245" s="30" t="n">
        <x:v>7359</x:v>
      </x:c>
      <x:c r="D245" s="32" t="str">
        <x:v>Thekla's Lark</x:v>
      </x:c>
      <x:c r="E245" s="32" t="str">
        <x:v>Galerida theklae</x:v>
      </x:c>
      <x:c r="F245" s="30" t="str">
        <x:v>common</x:v>
      </x:c>
      <x:c r="G245" s="30" t="str">
        <x:v>standard</x:v>
      </x:c>
      <x:c r="H245" s="30" t="str">
        <x:v>year-round</x:v>
      </x:c>
      <x:c r="I2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">
      <x:c r="A246" s="36" t="str">
        <x:v>mediterranean_europe</x:v>
      </x:c>
      <x:c r="B246" s="30" t="str">
        <x:v>mediterranean-europe-broad-draft-1</x:v>
      </x:c>
      <x:c r="C246" s="30" t="n">
        <x:v>7018</x:v>
      </x:c>
      <x:c r="D246" s="32" t="str">
        <x:v>Greylag Goose</x:v>
      </x:c>
      <x:c r="E246" s="32" t="str">
        <x:v>Anser anser</x:v>
      </x:c>
      <x:c r="F246" s="30" t="str">
        <x:v>common</x:v>
      </x:c>
      <x:c r="G246" s="30" t="str">
        <x:v>standard</x:v>
      </x:c>
      <x:c r="H246" s="30" t="str">
        <x:v>year-round</x:v>
      </x:c>
      <x:c r="I2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">
      <x:c r="A247" s="36" t="str">
        <x:v>mediterranean_europe</x:v>
      </x:c>
      <x:c r="B247" s="30" t="str">
        <x:v>mediterranean-europe-broad-draft-1</x:v>
      </x:c>
      <x:c r="C247" s="30" t="n">
        <x:v>144541</x:v>
      </x:c>
      <x:c r="D247" s="32" t="str">
        <x:v>Sandwich Tern</x:v>
      </x:c>
      <x:c r="E247" s="32" t="str">
        <x:v>Thalasseus sandvicensis</x:v>
      </x:c>
      <x:c r="F247" s="30" t="str">
        <x:v>common</x:v>
      </x:c>
      <x:c r="G247" s="30" t="str">
        <x:v>standard</x:v>
      </x:c>
      <x:c r="H247" s="30" t="str">
        <x:v>year-round</x:v>
      </x:c>
      <x:c r="I2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">
      <x:c r="A248" s="36" t="str">
        <x:v>mediterranean_europe</x:v>
      </x:c>
      <x:c r="B248" s="30" t="str">
        <x:v>mediterranean-europe-broad-draft-1</x:v>
      </x:c>
      <x:c r="C248" s="30" t="n">
        <x:v>4994</x:v>
      </x:c>
      <x:c r="D248" s="32" t="str">
        <x:v>Squacco Heron</x:v>
      </x:c>
      <x:c r="E248" s="32" t="str">
        <x:v>Ardeola ralloides</x:v>
      </x:c>
      <x:c r="F248" s="30" t="str">
        <x:v>common</x:v>
      </x:c>
      <x:c r="G248" s="30" t="str">
        <x:v>standard</x:v>
      </x:c>
      <x:c r="H248" s="30" t="str">
        <x:v>year-round</x:v>
      </x:c>
      <x:c r="I2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">
      <x:c r="A249" s="36" t="str">
        <x:v>mediterranean_europe</x:v>
      </x:c>
      <x:c r="B249" s="30" t="str">
        <x:v>mediterranean-europe-broad-draft-1</x:v>
      </x:c>
      <x:c r="C249" s="30" t="n">
        <x:v>144830</x:v>
      </x:c>
      <x:c r="D249" s="32" t="str">
        <x:v>Crested Tit</x:v>
      </x:c>
      <x:c r="E249" s="32" t="str">
        <x:v>Lophophanes cristatus</x:v>
      </x:c>
      <x:c r="F249" s="30" t="str">
        <x:v>common</x:v>
      </x:c>
      <x:c r="G249" s="30" t="str">
        <x:v>standard</x:v>
      </x:c>
      <x:c r="H249" s="30" t="str">
        <x:v>year-round</x:v>
      </x:c>
      <x:c r="I2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">
      <x:c r="A250" s="36" t="str">
        <x:v>mediterranean_europe</x:v>
      </x:c>
      <x:c r="B250" s="30" t="str">
        <x:v>mediterranean-europe-broad-draft-1</x:v>
      </x:c>
      <x:c r="C250" s="30" t="n">
        <x:v>1584768</x:v>
      </x:c>
      <x:c r="D250" s="32" t="str">
        <x:v>European Red-rumped Swallow</x:v>
      </x:c>
      <x:c r="E250" s="32" t="str">
        <x:v>Cecropis rufula</x:v>
      </x:c>
      <x:c r="F250" s="30" t="str">
        <x:v>common</x:v>
      </x:c>
      <x:c r="G250" s="30" t="str">
        <x:v>standard</x:v>
      </x:c>
      <x:c r="H250" s="30" t="str">
        <x:v>year-round</x:v>
      </x:c>
      <x:c r="I2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">
      <x:c r="A251" s="36" t="str">
        <x:v>mediterranean_europe</x:v>
      </x:c>
      <x:c r="B251" s="30" t="str">
        <x:v>mediterranean-europe-broad-draft-1</x:v>
      </x:c>
      <x:c r="C251" s="30" t="n">
        <x:v>9193</x:v>
      </x:c>
      <x:c r="D251" s="32" t="str">
        <x:v>Rock Bunting</x:v>
      </x:c>
      <x:c r="E251" s="32" t="str">
        <x:v>Emberiza cia</x:v>
      </x:c>
      <x:c r="F251" s="30" t="str">
        <x:v>common</x:v>
      </x:c>
      <x:c r="G251" s="30" t="str">
        <x:v>standard</x:v>
      </x:c>
      <x:c r="H251" s="30" t="str">
        <x:v>year-round</x:v>
      </x:c>
      <x:c r="I2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">
      <x:c r="A252" s="36" t="str">
        <x:v>mediterranean_europe</x:v>
      </x:c>
      <x:c r="B252" s="30" t="str">
        <x:v>mediterranean-europe-broad-draft-1</x:v>
      </x:c>
      <x:c r="C252" s="30" t="n">
        <x:v>145303</x:v>
      </x:c>
      <x:c r="D252" s="32" t="str">
        <x:v>Eurasian Siskin</x:v>
      </x:c>
      <x:c r="E252" s="32" t="str">
        <x:v>Spinus spinus</x:v>
      </x:c>
      <x:c r="F252" s="30" t="str">
        <x:v>common</x:v>
      </x:c>
      <x:c r="G252" s="30" t="str">
        <x:v>standard</x:v>
      </x:c>
      <x:c r="H252" s="30" t="str">
        <x:v>year-round</x:v>
      </x:c>
      <x:c r="I2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">
      <x:c r="A253" s="36" t="str">
        <x:v>mediterranean_europe</x:v>
      </x:c>
      <x:c r="B253" s="30" t="str">
        <x:v>mediterranean-europe-broad-draft-1</x:v>
      </x:c>
      <x:c r="C253" s="30" t="n">
        <x:v>13988</x:v>
      </x:c>
      <x:c r="D253" s="32" t="str">
        <x:v>Dunnock</x:v>
      </x:c>
      <x:c r="E253" s="32" t="str">
        <x:v>Prunella modularis</x:v>
      </x:c>
      <x:c r="F253" s="30" t="str">
        <x:v>common</x:v>
      </x:c>
      <x:c r="G253" s="30" t="str">
        <x:v>standard</x:v>
      </x:c>
      <x:c r="H253" s="30" t="str">
        <x:v>year-round</x:v>
      </x:c>
      <x:c r="I2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4">
      <x:c r="A254" s="36" t="str">
        <x:v>mediterranean_europe</x:v>
      </x:c>
      <x:c r="B254" s="30" t="str">
        <x:v>mediterranean-europe-broad-draft-1</x:v>
      </x:c>
      <x:c r="C254" s="30" t="n">
        <x:v>13141</x:v>
      </x:c>
      <x:c r="D254" s="32" t="str">
        <x:v>Blue Rock-Thrush</x:v>
      </x:c>
      <x:c r="E254" s="32" t="str">
        <x:v>Monticola solitarius</x:v>
      </x:c>
      <x:c r="F254" s="30" t="str">
        <x:v>common</x:v>
      </x:c>
      <x:c r="G254" s="30" t="str">
        <x:v>standard</x:v>
      </x:c>
      <x:c r="H254" s="30" t="str">
        <x:v>year-round</x:v>
      </x:c>
      <x:c r="I2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5">
      <x:c r="A255" s="36" t="str">
        <x:v>mediterranean_europe</x:v>
      </x:c>
      <x:c r="B255" s="30" t="str">
        <x:v>mediterranean-europe-broad-draft-1</x:v>
      </x:c>
      <x:c r="C255" s="30" t="n">
        <x:v>12735</x:v>
      </x:c>
      <x:c r="D255" s="32" t="str">
        <x:v>Mistle Thrush</x:v>
      </x:c>
      <x:c r="E255" s="32" t="str">
        <x:v>Turdus viscivorus</x:v>
      </x:c>
      <x:c r="F255" s="30" t="str">
        <x:v>common</x:v>
      </x:c>
      <x:c r="G255" s="30" t="str">
        <x:v>standard</x:v>
      </x:c>
      <x:c r="H255" s="30" t="str">
        <x:v>year-round</x:v>
      </x:c>
      <x:c r="I2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6">
      <x:c r="A256" s="36" t="str">
        <x:v>mediterranean_europe</x:v>
      </x:c>
      <x:c r="B256" s="30" t="str">
        <x:v>mediterranean-europe-broad-draft-1</x:v>
      </x:c>
      <x:c r="C256" s="30" t="n">
        <x:v>3739</x:v>
      </x:c>
      <x:c r="D256" s="32" t="str">
        <x:v>African Sacred Ibis</x:v>
      </x:c>
      <x:c r="E256" s="32" t="str">
        <x:v>Threskiornis aethiopicus</x:v>
      </x:c>
      <x:c r="F256" s="30" t="str">
        <x:v>common</x:v>
      </x:c>
      <x:c r="G256" s="30" t="str">
        <x:v>standard</x:v>
      </x:c>
      <x:c r="H256" s="30" t="str">
        <x:v>year-round</x:v>
      </x:c>
      <x:c r="I2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7">
      <x:c r="A257" s="36" t="str">
        <x:v>mediterranean_europe</x:v>
      </x:c>
      <x:c r="B257" s="30" t="str">
        <x:v>mediterranean-europe-broad-draft-1</x:v>
      </x:c>
      <x:c r="C257" s="30" t="n">
        <x:v>13770</x:v>
      </x:c>
      <x:c r="D257" s="32" t="str">
        <x:v>Common Waxbill</x:v>
      </x:c>
      <x:c r="E257" s="32" t="str">
        <x:v>Estrilda astrild</x:v>
      </x:c>
      <x:c r="F257" s="30" t="str">
        <x:v>common</x:v>
      </x:c>
      <x:c r="G257" s="30" t="str">
        <x:v>standard</x:v>
      </x:c>
      <x:c r="H257" s="30" t="str">
        <x:v>year-round</x:v>
      </x:c>
      <x:c r="I2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8">
      <x:c r="A258" s="36" t="str">
        <x:v>mediterranean_europe</x:v>
      </x:c>
      <x:c r="B258" s="30" t="str">
        <x:v>mediterranean-europe-broad-draft-1</x:v>
      </x:c>
      <x:c r="C258" s="30" t="n">
        <x:v>3885</x:v>
      </x:c>
      <x:c r="D258" s="32" t="str">
        <x:v>Green Sandpiper</x:v>
      </x:c>
      <x:c r="E258" s="32" t="str">
        <x:v>Tringa ochropus</x:v>
      </x:c>
      <x:c r="F258" s="30" t="str">
        <x:v>common</x:v>
      </x:c>
      <x:c r="G258" s="30" t="str">
        <x:v>standard</x:v>
      </x:c>
      <x:c r="H258" s="30" t="str">
        <x:v>year-round</x:v>
      </x:c>
      <x:c r="I2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9">
      <x:c r="A259" s="36" t="str">
        <x:v>mediterranean_europe</x:v>
      </x:c>
      <x:c r="B259" s="30" t="str">
        <x:v>mediterranean-europe-broad-draft-1</x:v>
      </x:c>
      <x:c r="C259" s="30" t="n">
        <x:v>144242</x:v>
      </x:c>
      <x:c r="D259" s="32" t="str">
        <x:v>Iberian Green Woodpecker</x:v>
      </x:c>
      <x:c r="E259" s="32" t="str">
        <x:v>Picus sharpei</x:v>
      </x:c>
      <x:c r="F259" s="30" t="str">
        <x:v>common</x:v>
      </x:c>
      <x:c r="G259" s="30" t="str">
        <x:v>standard</x:v>
      </x:c>
      <x:c r="H259" s="30" t="str">
        <x:v>year-round</x:v>
      </x:c>
      <x:c r="I2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0">
      <x:c r="A260" s="36" t="str">
        <x:v>mediterranean_europe</x:v>
      </x:c>
      <x:c r="B260" s="30" t="str">
        <x:v>mediterranean-europe-broad-draft-1</x:v>
      </x:c>
      <x:c r="C260" s="30" t="n">
        <x:v>3947</x:v>
      </x:c>
      <x:c r="D260" s="32" t="str">
        <x:v>Black-tailed Godwit</x:v>
      </x:c>
      <x:c r="E260" s="32" t="str">
        <x:v>Limosa limosa</x:v>
      </x:c>
      <x:c r="F260" s="30" t="str">
        <x:v>common</x:v>
      </x:c>
      <x:c r="G260" s="30" t="str">
        <x:v>standard</x:v>
      </x:c>
      <x:c r="H260" s="30" t="str">
        <x:v>year-round</x:v>
      </x:c>
      <x:c r="I2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1">
      <x:c r="A261" s="36" t="str">
        <x:v>mediterranean_europe</x:v>
      </x:c>
      <x:c r="B261" s="30" t="str">
        <x:v>mediterranean-europe-broad-draft-1</x:v>
      </x:c>
      <x:c r="C261" s="30" t="n">
        <x:v>318836</x:v>
      </x:c>
      <x:c r="D261" s="32" t="str">
        <x:v>Common Snipe</x:v>
      </x:c>
      <x:c r="E261" s="32" t="str">
        <x:v>Gallinago gallinago</x:v>
      </x:c>
      <x:c r="F261" s="30" t="str">
        <x:v>common</x:v>
      </x:c>
      <x:c r="G261" s="30" t="str">
        <x:v>standard</x:v>
      </x:c>
      <x:c r="H261" s="30" t="str">
        <x:v>year-round</x:v>
      </x:c>
      <x:c r="I2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2">
      <x:c r="A262" s="36" t="str">
        <x:v>mediterranean_europe</x:v>
      </x:c>
      <x:c r="B262" s="30" t="str">
        <x:v>mediterranean-europe-broad-draft-1</x:v>
      </x:c>
      <x:c r="C262" s="30" t="n">
        <x:v>12908</x:v>
      </x:c>
      <x:c r="D262" s="32" t="str">
        <x:v>Whinchat</x:v>
      </x:c>
      <x:c r="E262" s="32" t="str">
        <x:v>Saxicola rubetra</x:v>
      </x:c>
      <x:c r="F262" s="30" t="str">
        <x:v>common</x:v>
      </x:c>
      <x:c r="G262" s="30" t="str">
        <x:v>standard</x:v>
      </x:c>
      <x:c r="H262" s="30" t="str">
        <x:v>year-round</x:v>
      </x:c>
      <x:c r="I2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3">
      <x:c r="A263" s="36" t="str">
        <x:v>mediterranean_europe</x:v>
      </x:c>
      <x:c r="B263" s="30" t="str">
        <x:v>mediterranean-europe-broad-draft-1</x:v>
      </x:c>
      <x:c r="C263" s="30" t="n">
        <x:v>117055</x:v>
      </x:c>
      <x:c r="D263" s="32" t="str">
        <x:v>Willow Warbler</x:v>
      </x:c>
      <x:c r="E263" s="32" t="str">
        <x:v>Phylloscopus trochilus</x:v>
      </x:c>
      <x:c r="F263" s="30" t="str">
        <x:v>common</x:v>
      </x:c>
      <x:c r="G263" s="30" t="str">
        <x:v>standard</x:v>
      </x:c>
      <x:c r="H263" s="30" t="str">
        <x:v>year-round</x:v>
      </x:c>
      <x:c r="I2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4">
      <x:c r="A264" s="36" t="str">
        <x:v>mediterranean_europe</x:v>
      </x:c>
      <x:c r="B264" s="30" t="str">
        <x:v>mediterranean-europe-broad-draft-1</x:v>
      </x:c>
      <x:c r="C264" s="30" t="n">
        <x:v>3888</x:v>
      </x:c>
      <x:c r="D264" s="32" t="str">
        <x:v>Wood Sandpiper</x:v>
      </x:c>
      <x:c r="E264" s="32" t="str">
        <x:v>Tringa glareola</x:v>
      </x:c>
      <x:c r="F264" s="30" t="str">
        <x:v>common</x:v>
      </x:c>
      <x:c r="G264" s="30" t="str">
        <x:v>standard</x:v>
      </x:c>
      <x:c r="H264" s="30" t="str">
        <x:v>year-round</x:v>
      </x:c>
      <x:c r="I2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5">
      <x:c r="A265" s="36" t="str">
        <x:v>mediterranean_europe</x:v>
      </x:c>
      <x:c r="B265" s="30" t="str">
        <x:v>mediterranean-europe-broad-draft-1</x:v>
      </x:c>
      <x:c r="C265" s="30" t="n">
        <x:v>19898</x:v>
      </x:c>
      <x:c r="D265" s="32" t="str">
        <x:v>Tawny Owl</x:v>
      </x:c>
      <x:c r="E265" s="32" t="str">
        <x:v>Strix aluco</x:v>
      </x:c>
      <x:c r="F265" s="30" t="str">
        <x:v>common</x:v>
      </x:c>
      <x:c r="G265" s="30" t="str">
        <x:v>standard</x:v>
      </x:c>
      <x:c r="H265" s="30" t="str">
        <x:v>year-round</x:v>
      </x:c>
      <x:c r="I2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6">
      <x:c r="A266" s="36" t="str">
        <x:v>mediterranean_europe</x:v>
      </x:c>
      <x:c r="B266" s="30" t="str">
        <x:v>mediterranean-europe-broad-draft-1</x:v>
      </x:c>
      <x:c r="C266" s="30" t="n">
        <x:v>5074</x:v>
      </x:c>
      <x:c r="D266" s="32" t="str">
        <x:v>Golden Eagle</x:v>
      </x:c>
      <x:c r="E266" s="32" t="str">
        <x:v>Aquila chrysaetos</x:v>
      </x:c>
      <x:c r="F266" s="30" t="str">
        <x:v>common</x:v>
      </x:c>
      <x:c r="G266" s="30" t="str">
        <x:v>standard</x:v>
      </x:c>
      <x:c r="H266" s="30" t="str">
        <x:v>year-round</x:v>
      </x:c>
      <x:c r="I2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7">
      <x:c r="A267" s="36" t="str">
        <x:v>mediterranean_europe</x:v>
      </x:c>
      <x:c r="B267" s="30" t="str">
        <x:v>mediterranean-europe-broad-draft-1</x:v>
      </x:c>
      <x:c r="C267" s="30" t="n">
        <x:v>4647</x:v>
      </x:c>
      <x:c r="D267" s="32" t="str">
        <x:v>Peregrine Falcon</x:v>
      </x:c>
      <x:c r="E267" s="32" t="str">
        <x:v>Falco peregrinus</x:v>
      </x:c>
      <x:c r="F267" s="30" t="str">
        <x:v>common</x:v>
      </x:c>
      <x:c r="G267" s="30" t="str">
        <x:v>standard</x:v>
      </x:c>
      <x:c r="H267" s="30" t="str">
        <x:v>year-round</x:v>
      </x:c>
      <x:c r="I2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8">
      <x:c r="A268" s="36" t="str">
        <x:v>mediterranean_europe</x:v>
      </x:c>
      <x:c r="B268" s="30" t="str">
        <x:v>mediterranean-europe-broad-draft-1</x:v>
      </x:c>
      <x:c r="C268" s="30" t="n">
        <x:v>9246</x:v>
      </x:c>
      <x:c r="D268" s="32" t="str">
        <x:v>Island Canary</x:v>
      </x:c>
      <x:c r="E268" s="32" t="str">
        <x:v>Serinus canaria</x:v>
      </x:c>
      <x:c r="F268" s="30" t="str">
        <x:v>common</x:v>
      </x:c>
      <x:c r="G268" s="30" t="str">
        <x:v>standard</x:v>
      </x:c>
      <x:c r="H268" s="30" t="str">
        <x:v>year-round</x:v>
      </x:c>
      <x:c r="I2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69">
      <x:c r="A269" s="36" t="str">
        <x:v>mediterranean_europe</x:v>
      </x:c>
      <x:c r="B269" s="30" t="str">
        <x:v>mediterranean-europe-broad-draft-1</x:v>
      </x:c>
      <x:c r="C269" s="30" t="n">
        <x:v>906982</x:v>
      </x:c>
      <x:c r="D269" s="32" t="str">
        <x:v>Iberian Grey Shrike</x:v>
      </x:c>
      <x:c r="E269" s="32" t="str">
        <x:v>Lanius meridionalis</x:v>
      </x:c>
      <x:c r="F269" s="30" t="str">
        <x:v>common</x:v>
      </x:c>
      <x:c r="G269" s="30" t="str">
        <x:v>standard</x:v>
      </x:c>
      <x:c r="H269" s="30" t="str">
        <x:v>year-round</x:v>
      </x:c>
      <x:c r="I2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0">
      <x:c r="A270" s="36" t="str">
        <x:v>mediterranean_europe</x:v>
      </x:c>
      <x:c r="B270" s="30" t="str">
        <x:v>mediterranean-europe-broad-draft-1</x:v>
      </x:c>
      <x:c r="C270" s="30" t="n">
        <x:v>116999</x:v>
      </x:c>
      <x:c r="D270" s="32" t="str">
        <x:v>Osprey</x:v>
      </x:c>
      <x:c r="E270" s="32" t="str">
        <x:v>Pandion haliaetus</x:v>
      </x:c>
      <x:c r="F270" s="30" t="str">
        <x:v>common</x:v>
      </x:c>
      <x:c r="G270" s="30" t="str">
        <x:v>standard</x:v>
      </x:c>
      <x:c r="H270" s="30" t="str">
        <x:v>year-round</x:v>
      </x:c>
      <x:c r="I2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1">
      <x:c r="A271" s="36" t="str">
        <x:v>mediterranean_europe</x:v>
      </x:c>
      <x:c r="B271" s="30" t="str">
        <x:v>mediterranean-europe-broad-draft-1</x:v>
      </x:c>
      <x:c r="C271" s="30" t="n">
        <x:v>4205</x:v>
      </x:c>
      <x:c r="D271" s="32" t="str">
        <x:v>Eared Grebe</x:v>
      </x:c>
      <x:c r="E271" s="32" t="str">
        <x:v>Podiceps nigricollis</x:v>
      </x:c>
      <x:c r="F271" s="30" t="str">
        <x:v>common</x:v>
      </x:c>
      <x:c r="G271" s="30" t="str">
        <x:v>standard</x:v>
      </x:c>
      <x:c r="H271" s="30" t="str">
        <x:v>year-round</x:v>
      </x:c>
      <x:c r="I2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2">
      <x:c r="A272" s="36" t="str">
        <x:v>mediterranean_europe</x:v>
      </x:c>
      <x:c r="B272" s="30" t="str">
        <x:v>mediterranean-europe-broad-draft-1</x:v>
      </x:c>
      <x:c r="C272" s="30" t="n">
        <x:v>59845</x:v>
      </x:c>
      <x:c r="D272" s="32" t="str">
        <x:v>Lesser Kestrel</x:v>
      </x:c>
      <x:c r="E272" s="32" t="str">
        <x:v>Falco naumanni</x:v>
      </x:c>
      <x:c r="F272" s="30" t="str">
        <x:v>common</x:v>
      </x:c>
      <x:c r="G272" s="30" t="str">
        <x:v>standard</x:v>
      </x:c>
      <x:c r="H272" s="30" t="str">
        <x:v>year-round</x:v>
      </x:c>
      <x:c r="I2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3">
      <x:c r="A273" s="36" t="str">
        <x:v>mediterranean_europe</x:v>
      </x:c>
      <x:c r="B273" s="30" t="str">
        <x:v>mediterranean-europe-broad-draft-1</x:v>
      </x:c>
      <x:c r="C273" s="30" t="n">
        <x:v>339593</x:v>
      </x:c>
      <x:c r="D273" s="32" t="str">
        <x:v>Ruff</x:v>
      </x:c>
      <x:c r="E273" s="32" t="str">
        <x:v>Calidris pugnax</x:v>
      </x:c>
      <x:c r="F273" s="30" t="str">
        <x:v>common</x:v>
      </x:c>
      <x:c r="G273" s="30" t="str">
        <x:v>standard</x:v>
      </x:c>
      <x:c r="H273" s="30" t="str">
        <x:v>year-round</x:v>
      </x:c>
      <x:c r="I2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4">
      <x:c r="A274" s="36" t="str">
        <x:v>mediterranean_europe</x:v>
      </x:c>
      <x:c r="B274" s="30" t="str">
        <x:v>mediterranean-europe-broad-draft-1</x:v>
      </x:c>
      <x:c r="C274" s="30" t="n">
        <x:v>72516</x:v>
      </x:c>
      <x:c r="D274" s="32" t="str">
        <x:v>Alpine Swift</x:v>
      </x:c>
      <x:c r="E274" s="32" t="str">
        <x:v>Tachymarptis melba</x:v>
      </x:c>
      <x:c r="F274" s="30" t="str">
        <x:v>common</x:v>
      </x:c>
      <x:c r="G274" s="30" t="str">
        <x:v>standard</x:v>
      </x:c>
      <x:c r="H274" s="30" t="str">
        <x:v>year-round</x:v>
      </x:c>
      <x:c r="I2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5">
      <x:c r="A275" s="36" t="str">
        <x:v>mediterranean_europe</x:v>
      </x:c>
      <x:c r="B275" s="30" t="str">
        <x:v>mediterranean-europe-broad-draft-1</x:v>
      </x:c>
      <x:c r="C275" s="30" t="n">
        <x:v>1907</x:v>
      </x:c>
      <x:c r="D275" s="32" t="str">
        <x:v>Common Cuckoo</x:v>
      </x:c>
      <x:c r="E275" s="32" t="str">
        <x:v>Cuculus canorus</x:v>
      </x:c>
      <x:c r="F275" s="30" t="str">
        <x:v>common</x:v>
      </x:c>
      <x:c r="G275" s="30" t="str">
        <x:v>standard</x:v>
      </x:c>
      <x:c r="H275" s="30" t="str">
        <x:v>year-round</x:v>
      </x:c>
      <x:c r="I2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6">
      <x:c r="A276" s="36" t="str">
        <x:v>mediterranean_europe</x:v>
      </x:c>
      <x:c r="B276" s="30" t="str">
        <x:v>mediterranean-europe-broad-draft-1</x:v>
      </x:c>
      <x:c r="C276" s="30" t="n">
        <x:v>7363</x:v>
      </x:c>
      <x:c r="D276" s="32" t="str">
        <x:v>Woodlark</x:v>
      </x:c>
      <x:c r="E276" s="32" t="str">
        <x:v>Lullula arborea</x:v>
      </x:c>
      <x:c r="F276" s="30" t="str">
        <x:v>common</x:v>
      </x:c>
      <x:c r="G276" s="30" t="str">
        <x:v>standard</x:v>
      </x:c>
      <x:c r="H276" s="30" t="str">
        <x:v>year-round</x:v>
      </x:c>
      <x:c r="I2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7">
      <x:c r="A277" s="36" t="str">
        <x:v>mediterranean_europe</x:v>
      </x:c>
      <x:c r="B277" s="30" t="str">
        <x:v>mediterranean-europe-broad-draft-1</x:v>
      </x:c>
      <x:c r="C277" s="30" t="n">
        <x:v>20244</x:v>
      </x:c>
      <x:c r="D277" s="32" t="str">
        <x:v>Eurasian Scops-Owl</x:v>
      </x:c>
      <x:c r="E277" s="32" t="str">
        <x:v>Otus scops</x:v>
      </x:c>
      <x:c r="F277" s="30" t="str">
        <x:v>common</x:v>
      </x:c>
      <x:c r="G277" s="30" t="str">
        <x:v>standard</x:v>
      </x:c>
      <x:c r="H277" s="30" t="str">
        <x:v>year-round</x:v>
      </x:c>
      <x:c r="I2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8">
      <x:c r="A278" s="36" t="str">
        <x:v>mediterranean_europe</x:v>
      </x:c>
      <x:c r="B278" s="30" t="str">
        <x:v>mediterranean-europe-broad-draft-1</x:v>
      </x:c>
      <x:c r="C278" s="30" t="n">
        <x:v>7046</x:v>
      </x:c>
      <x:c r="D278" s="32" t="str">
        <x:v>Tufted Duck</x:v>
      </x:c>
      <x:c r="E278" s="32" t="str">
        <x:v>Aythya fuligula</x:v>
      </x:c>
      <x:c r="F278" s="30" t="str">
        <x:v>common</x:v>
      </x:c>
      <x:c r="G278" s="30" t="str">
        <x:v>standard</x:v>
      </x:c>
      <x:c r="H278" s="30" t="str">
        <x:v>year-round</x:v>
      </x:c>
      <x:c r="I2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79">
      <x:c r="A279" s="36" t="str">
        <x:v>mediterranean_europe</x:v>
      </x:c>
      <x:c r="B279" s="30" t="str">
        <x:v>mediterranean-europe-broad-draft-1</x:v>
      </x:c>
      <x:c r="C279" s="30" t="n">
        <x:v>7647</x:v>
      </x:c>
      <x:c r="D279" s="32" t="str">
        <x:v>White-throated Dipper</x:v>
      </x:c>
      <x:c r="E279" s="32" t="str">
        <x:v>Cinclus cinclus</x:v>
      </x:c>
      <x:c r="F279" s="30" t="str">
        <x:v>common</x:v>
      </x:c>
      <x:c r="G279" s="30" t="str">
        <x:v>standard</x:v>
      </x:c>
      <x:c r="H279" s="30" t="str">
        <x:v>year-round</x:v>
      </x:c>
      <x:c r="I2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0">
      <x:c r="A280" s="36" t="str">
        <x:v>mediterranean_europe</x:v>
      </x:c>
      <x:c r="B280" s="30" t="str">
        <x:v>mediterranean-europe-broad-draft-1</x:v>
      </x:c>
      <x:c r="C280" s="30" t="n">
        <x:v>8350</x:v>
      </x:c>
      <x:c r="D280" s="32" t="str">
        <x:v>Yellow-billed Chough</x:v>
      </x:c>
      <x:c r="E280" s="32" t="str">
        <x:v>Pyrrhocorax graculus</x:v>
      </x:c>
      <x:c r="F280" s="30" t="str">
        <x:v>common</x:v>
      </x:c>
      <x:c r="G280" s="30" t="str">
        <x:v>standard</x:v>
      </x:c>
      <x:c r="H280" s="30" t="str">
        <x:v>year-round</x:v>
      </x:c>
      <x:c r="I2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1">
      <x:c r="A281" s="36" t="str">
        <x:v>mediterranean_europe</x:v>
      </x:c>
      <x:c r="B281" s="30" t="str">
        <x:v>mediterranean-europe-broad-draft-1</x:v>
      </x:c>
      <x:c r="C281" s="30" t="n">
        <x:v>8349</x:v>
      </x:c>
      <x:c r="D281" s="32" t="str">
        <x:v>Red-billed Chough</x:v>
      </x:c>
      <x:c r="E281" s="32" t="str">
        <x:v>Pyrrhocorax pyrrhocorax</x:v>
      </x:c>
      <x:c r="F281" s="30" t="str">
        <x:v>common</x:v>
      </x:c>
      <x:c r="G281" s="30" t="str">
        <x:v>standard</x:v>
      </x:c>
      <x:c r="H281" s="30" t="str">
        <x:v>year-round</x:v>
      </x:c>
      <x:c r="I2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2">
      <x:c r="A282" s="36" t="str">
        <x:v>mediterranean_europe</x:v>
      </x:c>
      <x:c r="B282" s="30" t="str">
        <x:v>mediterranean-europe-broad-draft-1</x:v>
      </x:c>
      <x:c r="C282" s="30" t="n">
        <x:v>144243</x:v>
      </x:c>
      <x:c r="D282" s="32" t="str">
        <x:v>Eurasian Green Woodpecker</x:v>
      </x:c>
      <x:c r="E282" s="32" t="str">
        <x:v>Picus viridis</x:v>
      </x:c>
      <x:c r="F282" s="30" t="str">
        <x:v>common</x:v>
      </x:c>
      <x:c r="G282" s="30" t="str">
        <x:v>standard</x:v>
      </x:c>
      <x:c r="H282" s="30" t="str">
        <x:v>year-round</x:v>
      </x:c>
      <x:c r="I2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3">
      <x:c r="A283" s="36" t="str">
        <x:v>mediterranean_europe</x:v>
      </x:c>
      <x:c r="B283" s="30" t="str">
        <x:v>mediterranean-europe-broad-draft-1</x:v>
      </x:c>
      <x:c r="C283" s="30" t="n">
        <x:v>204556</x:v>
      </x:c>
      <x:c r="D283" s="32" t="str">
        <x:v>Eurasian Golden Oriole</x:v>
      </x:c>
      <x:c r="E283" s="32" t="str">
        <x:v>Oriolus oriolus</x:v>
      </x:c>
      <x:c r="F283" s="30" t="str">
        <x:v>common</x:v>
      </x:c>
      <x:c r="G283" s="30" t="str">
        <x:v>standard</x:v>
      </x:c>
      <x:c r="H283" s="30" t="str">
        <x:v>year-round</x:v>
      </x:c>
      <x:c r="I2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4">
      <x:c r="A284" s="36" t="str">
        <x:v>mediterranean_europe</x:v>
      </x:c>
      <x:c r="B284" s="30" t="str">
        <x:v>mediterranean-europe-broad-draft-1</x:v>
      </x:c>
      <x:c r="C284" s="30" t="n">
        <x:v>13713</x:v>
      </x:c>
      <x:c r="D284" s="32" t="str">
        <x:v>Water Pipit</x:v>
      </x:c>
      <x:c r="E284" s="32" t="str">
        <x:v>Anthus spinoletta</x:v>
      </x:c>
      <x:c r="F284" s="30" t="str">
        <x:v>common</x:v>
      </x:c>
      <x:c r="G284" s="30" t="str">
        <x:v>standard</x:v>
      </x:c>
      <x:c r="H284" s="30" t="str">
        <x:v>year-round</x:v>
      </x:c>
      <x:c r="I2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5">
      <x:c r="A285" s="36" t="str">
        <x:v>mediterranean_europe</x:v>
      </x:c>
      <x:c r="B285" s="30" t="str">
        <x:v>mediterranean-europe-broad-draft-1</x:v>
      </x:c>
      <x:c r="C285" s="30" t="n">
        <x:v>4736</x:v>
      </x:c>
      <x:c r="D285" s="32" t="str">
        <x:v>Black Stork</x:v>
      </x:c>
      <x:c r="E285" s="32" t="str">
        <x:v>Ciconia nigra</x:v>
      </x:c>
      <x:c r="F285" s="30" t="str">
        <x:v>common</x:v>
      </x:c>
      <x:c r="G285" s="30" t="str">
        <x:v>standard</x:v>
      </x:c>
      <x:c r="H285" s="30" t="str">
        <x:v>year-round</x:v>
      </x:c>
      <x:c r="I2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6">
      <x:c r="A286" s="36" t="str">
        <x:v>mediterranean_europe</x:v>
      </x:c>
      <x:c r="B286" s="30" t="str">
        <x:v>mediterranean-europe-broad-draft-1</x:v>
      </x:c>
      <x:c r="C286" s="30" t="n">
        <x:v>6643</x:v>
      </x:c>
      <x:c r="D286" s="32" t="str">
        <x:v>Pallid Swift</x:v>
      </x:c>
      <x:c r="E286" s="32" t="str">
        <x:v>Apus pallidus</x:v>
      </x:c>
      <x:c r="F286" s="30" t="str">
        <x:v>common</x:v>
      </x:c>
      <x:c r="G286" s="30" t="str">
        <x:v>standard</x:v>
      </x:c>
      <x:c r="H286" s="30" t="str">
        <x:v>year-round</x:v>
      </x:c>
      <x:c r="I2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7">
      <x:c r="A287" s="36" t="str">
        <x:v>mediterranean_europe</x:v>
      </x:c>
      <x:c r="B287" s="30" t="str">
        <x:v>mediterranean-europe-broad-draft-1</x:v>
      </x:c>
      <x:c r="C287" s="30" t="n">
        <x:v>7004</x:v>
      </x:c>
      <x:c r="D287" s="32" t="str">
        <x:v>Common Merganser</x:v>
      </x:c>
      <x:c r="E287" s="32" t="str">
        <x:v>Mergus merganser</x:v>
      </x:c>
      <x:c r="F287" s="30" t="str">
        <x:v>common</x:v>
      </x:c>
      <x:c r="G287" s="30" t="str">
        <x:v>standard</x:v>
      </x:c>
      <x:c r="H287" s="30" t="str">
        <x:v>year-round</x:v>
      </x:c>
      <x:c r="I2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8">
      <x:c r="A288" s="36" t="str">
        <x:v>mediterranean_europe</x:v>
      </x:c>
      <x:c r="B288" s="30" t="str">
        <x:v>mediterranean-europe-broad-draft-1</x:v>
      </x:c>
      <x:c r="C288" s="30" t="n">
        <x:v>4843</x:v>
      </x:c>
      <x:c r="D288" s="32" t="str">
        <x:v>Eurasian Oystercatcher</x:v>
      </x:c>
      <x:c r="E288" s="32" t="str">
        <x:v>Haematopus ostralegus</x:v>
      </x:c>
      <x:c r="F288" s="30" t="str">
        <x:v>common</x:v>
      </x:c>
      <x:c r="G288" s="30" t="str">
        <x:v>standard</x:v>
      </x:c>
      <x:c r="H288" s="30" t="str">
        <x:v>year-round</x:v>
      </x:c>
      <x:c r="I2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89">
      <x:c r="A289" s="36" t="str">
        <x:v>mediterranean_europe</x:v>
      </x:c>
      <x:c r="B289" s="30" t="str">
        <x:v>mediterranean-europe-broad-draft-1</x:v>
      </x:c>
      <x:c r="C289" s="30" t="n">
        <x:v>7068</x:v>
      </x:c>
      <x:c r="D289" s="32" t="str">
        <x:v>Ruddy Shelduck</x:v>
      </x:c>
      <x:c r="E289" s="32" t="str">
        <x:v>Tadorna ferruginea</x:v>
      </x:c>
      <x:c r="F289" s="30" t="str">
        <x:v>common</x:v>
      </x:c>
      <x:c r="G289" s="30" t="str">
        <x:v>standard</x:v>
      </x:c>
      <x:c r="H289" s="30" t="str">
        <x:v>year-round</x:v>
      </x:c>
      <x:c r="I2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0">
      <x:c r="A290" s="36" t="str">
        <x:v>mediterranean_europe</x:v>
      </x:c>
      <x:c r="B290" s="30" t="str">
        <x:v>mediterranean-europe-broad-draft-1</x:v>
      </x:c>
      <x:c r="C290" s="30" t="n">
        <x:v>116923</x:v>
      </x:c>
      <x:c r="D290" s="32" t="str">
        <x:v>Melodious Warbler</x:v>
      </x:c>
      <x:c r="E290" s="32" t="str">
        <x:v>Hippolais polyglotta</x:v>
      </x:c>
      <x:c r="F290" s="30" t="str">
        <x:v>common</x:v>
      </x:c>
      <x:c r="G290" s="30" t="str">
        <x:v>standard</x:v>
      </x:c>
      <x:c r="H290" s="30" t="str">
        <x:v>year-round</x:v>
      </x:c>
      <x:c r="I2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1">
      <x:c r="A291" s="36" t="str">
        <x:v>mediterranean_europe</x:v>
      </x:c>
      <x:c r="B291" s="30" t="str">
        <x:v>mediterranean-europe-broad-draft-1</x:v>
      </x:c>
      <x:c r="C291" s="30" t="n">
        <x:v>3896</x:v>
      </x:c>
      <x:c r="D291" s="32" t="str">
        <x:v>Eurasian Curlew</x:v>
      </x:c>
      <x:c r="E291" s="32" t="str">
        <x:v>Numenius arquata</x:v>
      </x:c>
      <x:c r="F291" s="30" t="str">
        <x:v>common</x:v>
      </x:c>
      <x:c r="G291" s="30" t="str">
        <x:v>standard</x:v>
      </x:c>
      <x:c r="H291" s="30" t="str">
        <x:v>year-round</x:v>
      </x:c>
      <x:c r="I2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2">
      <x:c r="A292" s="36" t="str">
        <x:v>mediterranean_europe</x:v>
      </x:c>
      <x:c r="B292" s="30" t="str">
        <x:v>mediterranean-europe-broad-draft-1</x:v>
      </x:c>
      <x:c r="C292" s="30" t="n">
        <x:v>793469</x:v>
      </x:c>
      <x:c r="D292" s="32" t="str">
        <x:v>Goldcrest</x:v>
      </x:c>
      <x:c r="E292" s="32" t="str">
        <x:v>Regulus regulus</x:v>
      </x:c>
      <x:c r="F292" s="30" t="str">
        <x:v>common</x:v>
      </x:c>
      <x:c r="G292" s="30" t="str">
        <x:v>standard</x:v>
      </x:c>
      <x:c r="H292" s="30" t="str">
        <x:v>year-round</x:v>
      </x:c>
      <x:c r="I2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3">
      <x:c r="A293" s="36" t="str">
        <x:v>mediterranean_europe</x:v>
      </x:c>
      <x:c r="B293" s="30" t="str">
        <x:v>mediterranean-europe-broad-draft-1</x:v>
      </x:c>
      <x:c r="C293" s="30" t="n">
        <x:v>116858</x:v>
      </x:c>
      <x:c r="D293" s="32" t="str">
        <x:v>Cetti's Warbler</x:v>
      </x:c>
      <x:c r="E293" s="32" t="str">
        <x:v>Cettia cetti</x:v>
      </x:c>
      <x:c r="F293" s="30" t="str">
        <x:v>common</x:v>
      </x:c>
      <x:c r="G293" s="30" t="str">
        <x:v>standard</x:v>
      </x:c>
      <x:c r="H293" s="30" t="str">
        <x:v>year-round</x:v>
      </x:c>
      <x:c r="I2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4">
      <x:c r="A294" s="36" t="str">
        <x:v>mediterranean_europe</x:v>
      </x:c>
      <x:c r="B294" s="30" t="str">
        <x:v>mediterranean-europe-broad-draft-1</x:v>
      </x:c>
      <x:c r="C294" s="30" t="n">
        <x:v>204455</x:v>
      </x:c>
      <x:c r="D294" s="32" t="str">
        <x:v>Common Reed Warbler</x:v>
      </x:c>
      <x:c r="E294" s="32" t="str">
        <x:v>Acrocephalus scirpaceus</x:v>
      </x:c>
      <x:c r="F294" s="30" t="str">
        <x:v>common</x:v>
      </x:c>
      <x:c r="G294" s="30" t="str">
        <x:v>standard</x:v>
      </x:c>
      <x:c r="H294" s="30" t="str">
        <x:v>year-round</x:v>
      </x:c>
      <x:c r="I2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5">
      <x:c r="A295" s="36" t="str">
        <x:v>mediterranean_europe</x:v>
      </x:c>
      <x:c r="B295" s="30" t="str">
        <x:v>mediterranean-europe-broad-draft-1</x:v>
      </x:c>
      <x:c r="C295" s="30" t="n">
        <x:v>475028</x:v>
      </x:c>
      <x:c r="D295" s="32" t="str">
        <x:v>Western Swamphen</x:v>
      </x:c>
      <x:c r="E295" s="32" t="str">
        <x:v>Porphyrio porphyrio</x:v>
      </x:c>
      <x:c r="F295" s="30" t="str">
        <x:v>common</x:v>
      </x:c>
      <x:c r="G295" s="30" t="str">
        <x:v>standard</x:v>
      </x:c>
      <x:c r="H295" s="30" t="str">
        <x:v>year-round</x:v>
      </x:c>
      <x:c r="I2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6">
      <x:c r="A296" s="36" t="str">
        <x:v>mediterranean_europe</x:v>
      </x:c>
      <x:c r="B296" s="30" t="str">
        <x:v>mediterranean-europe-broad-draft-1</x:v>
      </x:c>
      <x:c r="C296" s="30" t="n">
        <x:v>5081</x:v>
      </x:c>
      <x:c r="D296" s="32" t="str">
        <x:v>Spanish Eagle</x:v>
      </x:c>
      <x:c r="E296" s="32" t="str">
        <x:v>Aquila adalberti</x:v>
      </x:c>
      <x:c r="F296" s="30" t="str">
        <x:v>common</x:v>
      </x:c>
      <x:c r="G296" s="30" t="str">
        <x:v>legendary</x:v>
      </x:c>
      <x:c r="H296" s="30" t="str">
        <x:v>year-round</x:v>
      </x:c>
      <x:c r="I296" s="37" t="str">
        <x:v>Owner-managed mediterranean_europe icon checklist; imported from mediterranean_europe_checklists.csv. Encounter rarity and prestige are curated game metadata. Automated rarity: inaturalist-regional-frequency-v1.</x:v>
      </x:c>
    </x:row>
    <x:row r="297">
      <x:c r="A297" s="36" t="str">
        <x:v>mediterranean_europe</x:v>
      </x:c>
      <x:c r="B297" s="30" t="str">
        <x:v>mediterranean-europe-broad-draft-1</x:v>
      </x:c>
      <x:c r="C297" s="30" t="n">
        <x:v>5361</x:v>
      </x:c>
      <x:c r="D297" s="32" t="str">
        <x:v>Egyptian Vulture</x:v>
      </x:c>
      <x:c r="E297" s="32" t="str">
        <x:v>Neophron percnopterus</x:v>
      </x:c>
      <x:c r="F297" s="30" t="str">
        <x:v>common</x:v>
      </x:c>
      <x:c r="G297" s="30" t="str">
        <x:v>standard</x:v>
      </x:c>
      <x:c r="H297" s="30" t="str">
        <x:v>year-round</x:v>
      </x:c>
      <x:c r="I2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8">
      <x:c r="A298" s="36" t="str">
        <x:v>mediterranean_europe</x:v>
      </x:c>
      <x:c r="B298" s="30" t="str">
        <x:v>mediterranean-europe-broad-draft-1</x:v>
      </x:c>
      <x:c r="C298" s="30" t="n">
        <x:v>3017</x:v>
      </x:c>
      <x:c r="D298" s="32" t="str">
        <x:v>Rock Pigeon</x:v>
      </x:c>
      <x:c r="E298" s="32" t="str">
        <x:v>Columba livia</x:v>
      </x:c>
      <x:c r="F298" s="30" t="str">
        <x:v>common</x:v>
      </x:c>
      <x:c r="G298" s="30" t="str">
        <x:v>standard</x:v>
      </x:c>
      <x:c r="H298" s="30" t="str">
        <x:v>year-round</x:v>
      </x:c>
      <x:c r="I2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99">
      <x:c r="A299" s="36" t="str">
        <x:v>mediterranean_europe</x:v>
      </x:c>
      <x:c r="B299" s="30" t="str">
        <x:v>mediterranean-europe-broad-draft-1</x:v>
      </x:c>
      <x:c r="C299" s="30" t="n">
        <x:v>10411</x:v>
      </x:c>
      <x:c r="D299" s="32" t="str">
        <x:v>Red Crossbill</x:v>
      </x:c>
      <x:c r="E299" s="32" t="str">
        <x:v>Loxia curvirostra</x:v>
      </x:c>
      <x:c r="F299" s="30" t="str">
        <x:v>common</x:v>
      </x:c>
      <x:c r="G299" s="30" t="str">
        <x:v>standard</x:v>
      </x:c>
      <x:c r="H299" s="30" t="str">
        <x:v>year-round</x:v>
      </x:c>
      <x:c r="I2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0">
      <x:c r="A300" s="36" t="str">
        <x:v>mediterranean_europe</x:v>
      </x:c>
      <x:c r="B300" s="30" t="str">
        <x:v>mediterranean-europe-broad-draft-1</x:v>
      </x:c>
      <x:c r="C300" s="30" t="n">
        <x:v>9201</x:v>
      </x:c>
      <x:c r="D300" s="32" t="str">
        <x:v>Reed Bunting</x:v>
      </x:c>
      <x:c r="E300" s="32" t="str">
        <x:v>Emberiza schoeniclus</x:v>
      </x:c>
      <x:c r="F300" s="30" t="str">
        <x:v>common</x:v>
      </x:c>
      <x:c r="G300" s="30" t="str">
        <x:v>standard</x:v>
      </x:c>
      <x:c r="H300" s="30" t="str">
        <x:v>year-round</x:v>
      </x:c>
      <x:c r="I3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1">
      <x:c r="A301" s="36" t="str">
        <x:v>mediterranean_europe</x:v>
      </x:c>
      <x:c r="B301" s="30" t="str">
        <x:v>mediterranean-europe-broad-draft-1</x:v>
      </x:c>
      <x:c r="C301" s="30" t="n">
        <x:v>13738</x:v>
      </x:c>
      <x:c r="D301" s="32" t="str">
        <x:v>Berthelot's Pipit</x:v>
      </x:c>
      <x:c r="E301" s="32" t="str">
        <x:v>Anthus berthelotii</x:v>
      </x:c>
      <x:c r="F301" s="30" t="str">
        <x:v>common</x:v>
      </x:c>
      <x:c r="G301" s="30" t="str">
        <x:v>standard</x:v>
      </x:c>
      <x:c r="H301" s="30" t="str">
        <x:v>year-round</x:v>
      </x:c>
      <x:c r="I3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2">
      <x:c r="A302" s="36" t="str">
        <x:v>mediterranean_europe</x:v>
      </x:c>
      <x:c r="B302" s="30" t="str">
        <x:v>mediterranean-europe-broad-draft-1</x:v>
      </x:c>
      <x:c r="C302" s="30" t="n">
        <x:v>3802</x:v>
      </x:c>
      <x:c r="D302" s="32" t="str">
        <x:v>Northern Gannet</x:v>
      </x:c>
      <x:c r="E302" s="32" t="str">
        <x:v>Morus bassanus</x:v>
      </x:c>
      <x:c r="F302" s="30" t="str">
        <x:v>common</x:v>
      </x:c>
      <x:c r="G302" s="30" t="str">
        <x:v>standard</x:v>
      </x:c>
      <x:c r="H302" s="30" t="str">
        <x:v>year-round</x:v>
      </x:c>
      <x:c r="I3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3">
      <x:c r="A303" s="36" t="str">
        <x:v>mediterranean_europe</x:v>
      </x:c>
      <x:c r="B303" s="30" t="str">
        <x:v>mediterranean-europe-broad-draft-1</x:v>
      </x:c>
      <x:c r="C303" s="30" t="n">
        <x:v>5167</x:v>
      </x:c>
      <x:c r="D303" s="32" t="str">
        <x:v>Montagu's Harrier</x:v>
      </x:c>
      <x:c r="E303" s="32" t="str">
        <x:v>Circus pygargus</x:v>
      </x:c>
      <x:c r="F303" s="30" t="str">
        <x:v>common</x:v>
      </x:c>
      <x:c r="G303" s="30" t="str">
        <x:v>standard</x:v>
      </x:c>
      <x:c r="H303" s="30" t="str">
        <x:v>year-round</x:v>
      </x:c>
      <x:c r="I3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4">
      <x:c r="A304" s="36" t="str">
        <x:v>mediterranean_europe</x:v>
      </x:c>
      <x:c r="B304" s="30" t="str">
        <x:v>mediterranean-europe-broad-draft-1</x:v>
      </x:c>
      <x:c r="C304" s="30" t="n">
        <x:v>144501</x:v>
      </x:c>
      <x:c r="D304" s="32" t="str">
        <x:v>Slender-billed Gull</x:v>
      </x:c>
      <x:c r="E304" s="32" t="str">
        <x:v>Chroicocephalus genei</x:v>
      </x:c>
      <x:c r="F304" s="30" t="str">
        <x:v>common</x:v>
      </x:c>
      <x:c r="G304" s="30" t="str">
        <x:v>standard</x:v>
      </x:c>
      <x:c r="H304" s="30" t="str">
        <x:v>year-round</x:v>
      </x:c>
      <x:c r="I3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5">
      <x:c r="A305" s="36" t="str">
        <x:v>mediterranean_europe</x:v>
      </x:c>
      <x:c r="B305" s="30" t="str">
        <x:v>mediterranean-europe-broad-draft-1</x:v>
      </x:c>
      <x:c r="C305" s="30" t="n">
        <x:v>20307</x:v>
      </x:c>
      <x:c r="D305" s="32" t="str">
        <x:v>Long-eared Owl</x:v>
      </x:c>
      <x:c r="E305" s="32" t="str">
        <x:v>Asio otus</x:v>
      </x:c>
      <x:c r="F305" s="30" t="str">
        <x:v>common</x:v>
      </x:c>
      <x:c r="G305" s="30" t="str">
        <x:v>standard</x:v>
      </x:c>
      <x:c r="H305" s="30" t="str">
        <x:v>year-round</x:v>
      </x:c>
      <x:c r="I3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6">
      <x:c r="A306" s="36" t="str">
        <x:v>mediterranean_europe</x:v>
      </x:c>
      <x:c r="B306" s="30" t="str">
        <x:v>mediterranean-europe-broad-draft-1</x:v>
      </x:c>
      <x:c r="C306" s="30" t="n">
        <x:v>9801</x:v>
      </x:c>
      <x:c r="D306" s="32" t="str">
        <x:v>Hawfinch</x:v>
      </x:c>
      <x:c r="E306" s="32" t="str">
        <x:v>Coccothraustes coccothraustes</x:v>
      </x:c>
      <x:c r="F306" s="30" t="str">
        <x:v>common</x:v>
      </x:c>
      <x:c r="G306" s="30" t="str">
        <x:v>standard</x:v>
      </x:c>
      <x:c r="H306" s="30" t="str">
        <x:v>year-round</x:v>
      </x:c>
      <x:c r="I3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7">
      <x:c r="A307" s="36" t="str">
        <x:v>mediterranean_europe</x:v>
      </x:c>
      <x:c r="B307" s="30" t="str">
        <x:v>mediterranean-europe-broad-draft-1</x:v>
      </x:c>
      <x:c r="C307" s="30" t="n">
        <x:v>13711</x:v>
      </x:c>
      <x:c r="D307" s="32" t="str">
        <x:v>Tree Pipit</x:v>
      </x:c>
      <x:c r="E307" s="32" t="str">
        <x:v>Anthus trivialis</x:v>
      </x:c>
      <x:c r="F307" s="30" t="str">
        <x:v>common</x:v>
      </x:c>
      <x:c r="G307" s="30" t="str">
        <x:v>standard</x:v>
      </x:c>
      <x:c r="H307" s="30" t="str">
        <x:v>year-round</x:v>
      </x:c>
      <x:c r="I3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8">
      <x:c r="A308" s="36" t="str">
        <x:v>mediterranean_europe</x:v>
      </x:c>
      <x:c r="B308" s="30" t="str">
        <x:v>mediterranean-europe-broad-draft-1</x:v>
      </x:c>
      <x:c r="C308" s="30" t="n">
        <x:v>144529</x:v>
      </x:c>
      <x:c r="D308" s="32" t="str">
        <x:v>Little Tern</x:v>
      </x:c>
      <x:c r="E308" s="32" t="str">
        <x:v>Sternula albifrons</x:v>
      </x:c>
      <x:c r="F308" s="30" t="str">
        <x:v>common</x:v>
      </x:c>
      <x:c r="G308" s="30" t="str">
        <x:v>standard</x:v>
      </x:c>
      <x:c r="H308" s="30" t="str">
        <x:v>year-round</x:v>
      </x:c>
      <x:c r="I3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09">
      <x:c r="A309" s="36" t="str">
        <x:v>mediterranean_europe</x:v>
      </x:c>
      <x:c r="B309" s="30" t="str">
        <x:v>mediterranean-europe-broad-draft-1</x:v>
      </x:c>
      <x:c r="C309" s="30" t="n">
        <x:v>1504818</x:v>
      </x:c>
      <x:c r="D309" s="32" t="str">
        <x:v>Madeiran Chaffinch</x:v>
      </x:c>
      <x:c r="E309" s="32" t="str">
        <x:v>Fringilla maderensis</x:v>
      </x:c>
      <x:c r="F309" s="30" t="str">
        <x:v>common</x:v>
      </x:c>
      <x:c r="G309" s="30" t="str">
        <x:v>standard</x:v>
      </x:c>
      <x:c r="H309" s="30" t="str">
        <x:v>year-round</x:v>
      </x:c>
      <x:c r="I3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0">
      <x:c r="A310" s="36" t="str">
        <x:v>mediterranean_europe</x:v>
      </x:c>
      <x:c r="B310" s="30" t="str">
        <x:v>mediterranean-europe-broad-draft-1</x:v>
      </x:c>
      <x:c r="C310" s="30" t="n">
        <x:v>3838</x:v>
      </x:c>
      <x:c r="D310" s="32" t="str">
        <x:v>Little Stint</x:v>
      </x:c>
      <x:c r="E310" s="32" t="str">
        <x:v>Calidris minuta</x:v>
      </x:c>
      <x:c r="F310" s="30" t="str">
        <x:v>common</x:v>
      </x:c>
      <x:c r="G310" s="30" t="str">
        <x:v>standard</x:v>
      </x:c>
      <x:c r="H310" s="30" t="str">
        <x:v>year-round</x:v>
      </x:c>
      <x:c r="I3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1">
      <x:c r="A311" s="36" t="str">
        <x:v>mediterranean_europe</x:v>
      </x:c>
      <x:c r="B311" s="30" t="str">
        <x:v>mediterranean-europe-broad-draft-1</x:v>
      </x:c>
      <x:c r="C311" s="30" t="n">
        <x:v>558441</x:v>
      </x:c>
      <x:c r="D311" s="32" t="str">
        <x:v>Eurasian Wigeon</x:v>
      </x:c>
      <x:c r="E311" s="32" t="str">
        <x:v>Mareca penelope</x:v>
      </x:c>
      <x:c r="F311" s="30" t="str">
        <x:v>common</x:v>
      </x:c>
      <x:c r="G311" s="30" t="str">
        <x:v>standard</x:v>
      </x:c>
      <x:c r="H311" s="30" t="str">
        <x:v>year-round</x:v>
      </x:c>
      <x:c r="I3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2">
      <x:c r="A312" s="36" t="str">
        <x:v>mediterranean_europe</x:v>
      </x:c>
      <x:c r="B312" s="30" t="str">
        <x:v>mediterranean-europe-broad-draft-1</x:v>
      </x:c>
      <x:c r="C312" s="30" t="n">
        <x:v>1289470</x:v>
      </x:c>
      <x:c r="D312" s="32" t="str">
        <x:v>Greater Whitethroat</x:v>
      </x:c>
      <x:c r="E312" s="32" t="str">
        <x:v>Curruca communis</x:v>
      </x:c>
      <x:c r="F312" s="30" t="str">
        <x:v>common</x:v>
      </x:c>
      <x:c r="G312" s="30" t="str">
        <x:v>standard</x:v>
      </x:c>
      <x:c r="H312" s="30" t="str">
        <x:v>year-round</x:v>
      </x:c>
      <x:c r="I3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3">
      <x:c r="A313" s="36" t="str">
        <x:v>mediterranean_europe</x:v>
      </x:c>
      <x:c r="B313" s="30" t="str">
        <x:v>mediterranean-europe-broad-draft-1</x:v>
      </x:c>
      <x:c r="C313" s="30" t="n">
        <x:v>144809</x:v>
      </x:c>
      <x:c r="D313" s="32" t="str">
        <x:v>Marsh Tit</x:v>
      </x:c>
      <x:c r="E313" s="32" t="str">
        <x:v>Poecile palustris</x:v>
      </x:c>
      <x:c r="F313" s="30" t="str">
        <x:v>common</x:v>
      </x:c>
      <x:c r="G313" s="30" t="str">
        <x:v>standard</x:v>
      </x:c>
      <x:c r="H313" s="30" t="str">
        <x:v>year-round</x:v>
      </x:c>
      <x:c r="I3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4">
      <x:c r="A314" s="36" t="str">
        <x:v>mediterranean_europe</x:v>
      </x:c>
      <x:c r="B314" s="30" t="str">
        <x:v>mediterranean-europe-broad-draft-1</x:v>
      </x:c>
      <x:c r="C314" s="30" t="n">
        <x:v>1578961</x:v>
      </x:c>
      <x:c r="D314" s="32" t="str">
        <x:v>Little Bittern</x:v>
      </x:c>
      <x:c r="E314" s="32" t="str">
        <x:v>Botaurus minutus</x:v>
      </x:c>
      <x:c r="F314" s="30" t="str">
        <x:v>common</x:v>
      </x:c>
      <x:c r="G314" s="30" t="str">
        <x:v>standard</x:v>
      </x:c>
      <x:c r="H314" s="30" t="str">
        <x:v>year-round</x:v>
      </x:c>
      <x:c r="I3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5">
      <x:c r="A315" s="36" t="str">
        <x:v>mediterranean_europe</x:v>
      </x:c>
      <x:c r="B315" s="30" t="str">
        <x:v>mediterranean-europe-broad-draft-1</x:v>
      </x:c>
      <x:c r="C315" s="30" t="n">
        <x:v>2266</x:v>
      </x:c>
      <x:c r="D315" s="32" t="str">
        <x:v>European Roller</x:v>
      </x:c>
      <x:c r="E315" s="32" t="str">
        <x:v>Coracias garrulus</x:v>
      </x:c>
      <x:c r="F315" s="30" t="str">
        <x:v>common</x:v>
      </x:c>
      <x:c r="G315" s="30" t="str">
        <x:v>standard</x:v>
      </x:c>
      <x:c r="H315" s="30" t="str">
        <x:v>year-round</x:v>
      </x:c>
      <x:c r="I3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6">
      <x:c r="A316" s="36" t="str">
        <x:v>mediterranean_europe</x:v>
      </x:c>
      <x:c r="B316" s="30" t="str">
        <x:v>mediterranean-europe-broad-draft-1</x:v>
      </x:c>
      <x:c r="C316" s="30" t="n">
        <x:v>14076</x:v>
      </x:c>
      <x:c r="D316" s="32" t="str">
        <x:v>Rock Sparrow</x:v>
      </x:c>
      <x:c r="E316" s="32" t="str">
        <x:v>Petronia petronia</x:v>
      </x:c>
      <x:c r="F316" s="30" t="str">
        <x:v>common</x:v>
      </x:c>
      <x:c r="G316" s="30" t="str">
        <x:v>standard</x:v>
      </x:c>
      <x:c r="H316" s="30" t="str">
        <x:v>year-round</x:v>
      </x:c>
      <x:c r="I3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7">
      <x:c r="A317" s="36" t="str">
        <x:v>mediterranean_europe</x:v>
      </x:c>
      <x:c r="B317" s="30" t="str">
        <x:v>mediterranean-europe-broad-draft-1</x:v>
      </x:c>
      <x:c r="C317" s="30" t="n">
        <x:v>7055</x:v>
      </x:c>
      <x:c r="D317" s="32" t="str">
        <x:v>Ferruginous Duck</x:v>
      </x:c>
      <x:c r="E317" s="32" t="str">
        <x:v>Aythya nyroca</x:v>
      </x:c>
      <x:c r="F317" s="30" t="str">
        <x:v>common</x:v>
      </x:c>
      <x:c r="G317" s="30" t="str">
        <x:v>standard</x:v>
      </x:c>
      <x:c r="H317" s="30" t="str">
        <x:v>year-round</x:v>
      </x:c>
      <x:c r="I3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8">
      <x:c r="A318" s="36" t="str">
        <x:v>mediterranean_europe</x:v>
      </x:c>
      <x:c r="B318" s="30" t="str">
        <x:v>mediterranean-europe-broad-draft-1</x:v>
      </x:c>
      <x:c r="C318" s="30" t="n">
        <x:v>7081</x:v>
      </x:c>
      <x:c r="D318" s="32" t="str">
        <x:v>White-headed Duck</x:v>
      </x:c>
      <x:c r="E318" s="32" t="str">
        <x:v>Oxyura leucocephala</x:v>
      </x:c>
      <x:c r="F318" s="30" t="str">
        <x:v>common</x:v>
      </x:c>
      <x:c r="G318" s="30" t="str">
        <x:v>standard</x:v>
      </x:c>
      <x:c r="H318" s="30" t="str">
        <x:v>year-round</x:v>
      </x:c>
      <x:c r="I3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19">
      <x:c r="A319" s="36" t="str">
        <x:v>mediterranean_europe</x:v>
      </x:c>
      <x:c r="B319" s="30" t="str">
        <x:v>mediterranean-europe-broad-draft-1</x:v>
      </x:c>
      <x:c r="C319" s="30" t="n">
        <x:v>1289471</x:v>
      </x:c>
      <x:c r="D319" s="32" t="str">
        <x:v>Western Subalpine Warbler</x:v>
      </x:c>
      <x:c r="E319" s="32" t="str">
        <x:v>Curruca iberiae</x:v>
      </x:c>
      <x:c r="F319" s="30" t="str">
        <x:v>common</x:v>
      </x:c>
      <x:c r="G319" s="30" t="str">
        <x:v>standard</x:v>
      </x:c>
      <x:c r="H319" s="30" t="str">
        <x:v>year-round</x:v>
      </x:c>
      <x:c r="I3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0">
      <x:c r="A320" s="36" t="str">
        <x:v>mediterranean_europe</x:v>
      </x:c>
      <x:c r="B320" s="30" t="str">
        <x:v>mediterranean-europe-broad-draft-1</x:v>
      </x:c>
      <x:c r="C320" s="30" t="n">
        <x:v>3882</x:v>
      </x:c>
      <x:c r="D320" s="32" t="str">
        <x:v>Spotted Redshank</x:v>
      </x:c>
      <x:c r="E320" s="32" t="str">
        <x:v>Tringa erythropus</x:v>
      </x:c>
      <x:c r="F320" s="30" t="str">
        <x:v>common</x:v>
      </x:c>
      <x:c r="G320" s="30" t="str">
        <x:v>standard</x:v>
      </x:c>
      <x:c r="H320" s="30" t="str">
        <x:v>year-round</x:v>
      </x:c>
      <x:c r="I3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1">
      <x:c r="A321" s="36" t="str">
        <x:v>mediterranean_europe</x:v>
      </x:c>
      <x:c r="B321" s="30" t="str">
        <x:v>mediterranean-europe-broad-draft-1</x:v>
      </x:c>
      <x:c r="C321" s="30" t="n">
        <x:v>320711</x:v>
      </x:c>
      <x:c r="D321" s="32" t="str">
        <x:v>Cory's Shearwater</x:v>
      </x:c>
      <x:c r="E321" s="32" t="str">
        <x:v>Calonectris borealis</x:v>
      </x:c>
      <x:c r="F321" s="30" t="str">
        <x:v>common</x:v>
      </x:c>
      <x:c r="G321" s="30" t="str">
        <x:v>standard</x:v>
      </x:c>
      <x:c r="H321" s="30" t="str">
        <x:v>year-round</x:v>
      </x:c>
      <x:c r="I3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2">
      <x:c r="A322" s="36" t="str">
        <x:v>mediterranean_europe</x:v>
      </x:c>
      <x:c r="B322" s="30" t="str">
        <x:v>mediterranean-europe-broad-draft-1</x:v>
      </x:c>
      <x:c r="C322" s="30" t="n">
        <x:v>4643</x:v>
      </x:c>
      <x:c r="D322" s="32" t="str">
        <x:v>Eurasian Hobby</x:v>
      </x:c>
      <x:c r="E322" s="32" t="str">
        <x:v>Falco subbuteo</x:v>
      </x:c>
      <x:c r="F322" s="30" t="str">
        <x:v>common</x:v>
      </x:c>
      <x:c r="G322" s="30" t="str">
        <x:v>standard</x:v>
      </x:c>
      <x:c r="H322" s="30" t="str">
        <x:v>year-round</x:v>
      </x:c>
      <x:c r="I3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3">
      <x:c r="A323" s="36" t="str">
        <x:v>mediterranean_europe</x:v>
      </x:c>
      <x:c r="B323" s="30" t="str">
        <x:v>mediterranean-europe-broad-draft-1</x:v>
      </x:c>
      <x:c r="C323" s="30" t="n">
        <x:v>1504817</x:v>
      </x:c>
      <x:c r="D323" s="32" t="str">
        <x:v>Azores Chaffinch</x:v>
      </x:c>
      <x:c r="E323" s="32" t="str">
        <x:v>Fringilla moreletti</x:v>
      </x:c>
      <x:c r="F323" s="30" t="str">
        <x:v>common</x:v>
      </x:c>
      <x:c r="G323" s="30" t="str">
        <x:v>standard</x:v>
      </x:c>
      <x:c r="H323" s="30" t="str">
        <x:v>year-round</x:v>
      </x:c>
      <x:c r="I3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4">
      <x:c r="A324" s="36" t="str">
        <x:v>mediterranean_europe</x:v>
      </x:c>
      <x:c r="B324" s="30" t="str">
        <x:v>mediterranean-europe-broad-draft-1</x:v>
      </x:c>
      <x:c r="C324" s="30" t="n">
        <x:v>6933</x:v>
      </x:c>
      <x:c r="D324" s="32" t="str">
        <x:v>Northern Pintail</x:v>
      </x:c>
      <x:c r="E324" s="32" t="str">
        <x:v>Anas acuta</x:v>
      </x:c>
      <x:c r="F324" s="30" t="str">
        <x:v>common</x:v>
      </x:c>
      <x:c r="G324" s="30" t="str">
        <x:v>standard</x:v>
      </x:c>
      <x:c r="H324" s="30" t="str">
        <x:v>year-round</x:v>
      </x:c>
      <x:c r="I3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5">
      <x:c r="A325" s="36" t="str">
        <x:v>mediterranean_europe</x:v>
      </x:c>
      <x:c r="B325" s="30" t="str">
        <x:v>mediterranean-europe-broad-draft-1</x:v>
      </x:c>
      <x:c r="C325" s="30" t="n">
        <x:v>7347</x:v>
      </x:c>
      <x:c r="D325" s="32" t="str">
        <x:v>Eurasian Skylark</x:v>
      </x:c>
      <x:c r="E325" s="32" t="str">
        <x:v>Alauda arvensis</x:v>
      </x:c>
      <x:c r="F325" s="30" t="str">
        <x:v>common</x:v>
      </x:c>
      <x:c r="G325" s="30" t="str">
        <x:v>standard</x:v>
      </x:c>
      <x:c r="H325" s="30" t="str">
        <x:v>year-round</x:v>
      </x:c>
      <x:c r="I3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6">
      <x:c r="A326" s="36" t="str">
        <x:v>mediterranean_europe</x:v>
      </x:c>
      <x:c r="B326" s="30" t="str">
        <x:v>mediterranean-europe-broad-draft-1</x:v>
      </x:c>
      <x:c r="C326" s="30" t="n">
        <x:v>13996</x:v>
      </x:c>
      <x:c r="D326" s="32" t="str">
        <x:v>Alpine Accentor</x:v>
      </x:c>
      <x:c r="E326" s="32" t="str">
        <x:v>Prunella collaris</x:v>
      </x:c>
      <x:c r="F326" s="30" t="str">
        <x:v>common</x:v>
      </x:c>
      <x:c r="G326" s="30" t="str">
        <x:v>standard</x:v>
      </x:c>
      <x:c r="H326" s="30" t="str">
        <x:v>year-round</x:v>
      </x:c>
      <x:c r="I3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7">
      <x:c r="A327" s="36" t="str">
        <x:v>mediterranean_europe</x:v>
      </x:c>
      <x:c r="B327" s="30" t="str">
        <x:v>mediterranean-europe-broad-draft-1</x:v>
      </x:c>
      <x:c r="C327" s="30" t="n">
        <x:v>4333</x:v>
      </x:c>
      <x:c r="D327" s="32" t="str">
        <x:v>Dalmatian Pelican</x:v>
      </x:c>
      <x:c r="E327" s="32" t="str">
        <x:v>Pelecanus crispus</x:v>
      </x:c>
      <x:c r="F327" s="30" t="str">
        <x:v>common</x:v>
      </x:c>
      <x:c r="G327" s="30" t="str">
        <x:v>standard</x:v>
      </x:c>
      <x:c r="H327" s="30" t="str">
        <x:v>year-round</x:v>
      </x:c>
      <x:c r="I3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8">
      <x:c r="A328" s="36" t="str">
        <x:v>mediterranean_europe</x:v>
      </x:c>
      <x:c r="B328" s="30" t="str">
        <x:v>mediterranean-europe-broad-draft-1</x:v>
      </x:c>
      <x:c r="C328" s="30" t="n">
        <x:v>62148</x:v>
      </x:c>
      <x:c r="D328" s="32" t="str">
        <x:v>Whiskered Tern</x:v>
      </x:c>
      <x:c r="E328" s="32" t="str">
        <x:v>Chlidonias hybrida</x:v>
      </x:c>
      <x:c r="F328" s="30" t="str">
        <x:v>common</x:v>
      </x:c>
      <x:c r="G328" s="30" t="str">
        <x:v>standard</x:v>
      </x:c>
      <x:c r="H328" s="30" t="str">
        <x:v>year-round</x:v>
      </x:c>
      <x:c r="I3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29">
      <x:c r="A329" s="36" t="str">
        <x:v>mediterranean_europe</x:v>
      </x:c>
      <x:c r="B329" s="30" t="str">
        <x:v>mediterranean-europe-broad-draft-1</x:v>
      </x:c>
      <x:c r="C329" s="30" t="n">
        <x:v>513926</x:v>
      </x:c>
      <x:c r="D329" s="32" t="str">
        <x:v>Water Rail</x:v>
      </x:c>
      <x:c r="E329" s="32" t="str">
        <x:v>Rallus aquaticus</x:v>
      </x:c>
      <x:c r="F329" s="30" t="str">
        <x:v>common</x:v>
      </x:c>
      <x:c r="G329" s="30" t="str">
        <x:v>standard</x:v>
      </x:c>
      <x:c r="H329" s="30" t="str">
        <x:v>year-round</x:v>
      </x:c>
      <x:c r="I3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0">
      <x:c r="A330" s="36" t="str">
        <x:v>mediterranean_europe</x:v>
      </x:c>
      <x:c r="B330" s="30" t="str">
        <x:v>mediterranean-europe-broad-draft-1</x:v>
      </x:c>
      <x:c r="C330" s="30" t="n">
        <x:v>4923</x:v>
      </x:c>
      <x:c r="D330" s="32" t="str">
        <x:v>Eurasian Stone-curlew</x:v>
      </x:c>
      <x:c r="E330" s="32" t="str">
        <x:v>Burhinus oedicnemus</x:v>
      </x:c>
      <x:c r="F330" s="30" t="str">
        <x:v>common</x:v>
      </x:c>
      <x:c r="G330" s="30" t="str">
        <x:v>standard</x:v>
      </x:c>
      <x:c r="H330" s="30" t="str">
        <x:v>year-round</x:v>
      </x:c>
      <x:c r="I3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1">
      <x:c r="A331" s="36" t="str">
        <x:v>mediterranean_europe</x:v>
      </x:c>
      <x:c r="B331" s="30" t="str">
        <x:v>mediterranean-europe-broad-draft-1</x:v>
      </x:c>
      <x:c r="C331" s="30" t="n">
        <x:v>3863</x:v>
      </x:c>
      <x:c r="D331" s="32" t="str">
        <x:v>Curlew Sandpiper</x:v>
      </x:c>
      <x:c r="E331" s="32" t="str">
        <x:v>Calidris ferruginea</x:v>
      </x:c>
      <x:c r="F331" s="30" t="str">
        <x:v>common</x:v>
      </x:c>
      <x:c r="G331" s="30" t="str">
        <x:v>standard</x:v>
      </x:c>
      <x:c r="H331" s="30" t="str">
        <x:v>year-round</x:v>
      </x:c>
      <x:c r="I3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2">
      <x:c r="A332" s="36" t="str">
        <x:v>mediterranean_europe</x:v>
      </x:c>
      <x:c r="B332" s="30" t="str">
        <x:v>mediterranean-europe-broad-draft-1</x:v>
      </x:c>
      <x:c r="C332" s="30" t="n">
        <x:v>7106</x:v>
      </x:c>
      <x:c r="D332" s="32" t="str">
        <x:v>Mandarin Duck</x:v>
      </x:c>
      <x:c r="E332" s="32" t="str">
        <x:v>Aix galericulata</x:v>
      </x:c>
      <x:c r="F332" s="30" t="str">
        <x:v>common</x:v>
      </x:c>
      <x:c r="G332" s="30" t="str">
        <x:v>standard</x:v>
      </x:c>
      <x:c r="H332" s="30" t="str">
        <x:v>year-round</x:v>
      </x:c>
      <x:c r="I3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3">
      <x:c r="A333" s="36" t="str">
        <x:v>mediterranean_europe</x:v>
      </x:c>
      <x:c r="B333" s="30" t="str">
        <x:v>mediterranean-europe-broad-draft-1</x:v>
      </x:c>
      <x:c r="C333" s="30" t="n">
        <x:v>1787</x:v>
      </x:c>
      <x:c r="D333" s="32" t="str">
        <x:v>Great Spotted Cuckoo</x:v>
      </x:c>
      <x:c r="E333" s="32" t="str">
        <x:v>Clamator glandarius</x:v>
      </x:c>
      <x:c r="F333" s="30" t="str">
        <x:v>common</x:v>
      </x:c>
      <x:c r="G333" s="30" t="str">
        <x:v>standard</x:v>
      </x:c>
      <x:c r="H333" s="30" t="str">
        <x:v>year-round</x:v>
      </x:c>
      <x:c r="I3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4">
      <x:c r="A334" s="36" t="str">
        <x:v>mediterranean_europe</x:v>
      </x:c>
      <x:c r="B334" s="30" t="str">
        <x:v>mediterranean-europe-broad-draft-1</x:v>
      </x:c>
      <x:c r="C334" s="30" t="n">
        <x:v>204456</x:v>
      </x:c>
      <x:c r="D334" s="32" t="str">
        <x:v>Great Reed Warbler</x:v>
      </x:c>
      <x:c r="E334" s="32" t="str">
        <x:v>Acrocephalus arundinaceus</x:v>
      </x:c>
      <x:c r="F334" s="30" t="str">
        <x:v>common</x:v>
      </x:c>
      <x:c r="G334" s="30" t="str">
        <x:v>standard</x:v>
      </x:c>
      <x:c r="H334" s="30" t="str">
        <x:v>year-round</x:v>
      </x:c>
      <x:c r="I3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5">
      <x:c r="A335" s="36" t="str">
        <x:v>mediterranean_europe</x:v>
      </x:c>
      <x:c r="B335" s="30" t="str">
        <x:v>mediterranean-europe-broad-draft-1</x:v>
      </x:c>
      <x:c r="C335" s="30" t="n">
        <x:v>17835</x:v>
      </x:c>
      <x:c r="D335" s="32" t="str">
        <x:v>Black Woodpecker</x:v>
      </x:c>
      <x:c r="E335" s="32" t="str">
        <x:v>Dryocopus martius</x:v>
      </x:c>
      <x:c r="F335" s="30" t="str">
        <x:v>common</x:v>
      </x:c>
      <x:c r="G335" s="30" t="str">
        <x:v>standard</x:v>
      </x:c>
      <x:c r="H335" s="30" t="str">
        <x:v>year-round</x:v>
      </x:c>
      <x:c r="I3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6">
      <x:c r="A336" s="36" t="str">
        <x:v>mediterranean_europe</x:v>
      </x:c>
      <x:c r="B336" s="30" t="str">
        <x:v>mediterranean-europe-broad-draft-1</x:v>
      </x:c>
      <x:c r="C336" s="30" t="n">
        <x:v>77</x:v>
      </x:c>
      <x:c r="D336" s="32" t="str">
        <x:v>Great Bustard</x:v>
      </x:c>
      <x:c r="E336" s="32" t="str">
        <x:v>Otis tarda</x:v>
      </x:c>
      <x:c r="F336" s="30" t="str">
        <x:v>common</x:v>
      </x:c>
      <x:c r="G336" s="30" t="str">
        <x:v>standard</x:v>
      </x:c>
      <x:c r="H336" s="30" t="str">
        <x:v>year-round</x:v>
      </x:c>
      <x:c r="I3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7">
      <x:c r="A337" s="36" t="str">
        <x:v>mediterranean_europe</x:v>
      </x:c>
      <x:c r="B337" s="30" t="str">
        <x:v>mediterranean-europe-broad-draft-1</x:v>
      </x:c>
      <x:c r="C337" s="30" t="n">
        <x:v>1579015</x:v>
      </x:c>
      <x:c r="D337" s="32" t="str">
        <x:v>Eurasian Goshawk</x:v>
      </x:c>
      <x:c r="E337" s="32" t="str">
        <x:v>Astur gentilis</x:v>
      </x:c>
      <x:c r="F337" s="30" t="str">
        <x:v>common</x:v>
      </x:c>
      <x:c r="G337" s="30" t="str">
        <x:v>standard</x:v>
      </x:c>
      <x:c r="H337" s="30" t="str">
        <x:v>year-round</x:v>
      </x:c>
      <x:c r="I3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8">
      <x:c r="A338" s="36" t="str">
        <x:v>mediterranean_europe</x:v>
      </x:c>
      <x:c r="B338" s="30" t="str">
        <x:v>mediterranean-europe-broad-draft-1</x:v>
      </x:c>
      <x:c r="C338" s="30" t="n">
        <x:v>10069</x:v>
      </x:c>
      <x:c r="D338" s="32" t="str">
        <x:v>Brambling</x:v>
      </x:c>
      <x:c r="E338" s="32" t="str">
        <x:v>Fringilla montifringilla</x:v>
      </x:c>
      <x:c r="F338" s="30" t="str">
        <x:v>uncommon</x:v>
      </x:c>
      <x:c r="G338" s="30" t="str">
        <x:v>standard</x:v>
      </x:c>
      <x:c r="H338" s="30" t="str">
        <x:v>year-round</x:v>
      </x:c>
      <x:c r="I3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39">
      <x:c r="A339" s="36" t="str">
        <x:v>mediterranean_europe</x:v>
      </x:c>
      <x:c r="B339" s="30" t="str">
        <x:v>mediterranean-europe-broad-draft-1</x:v>
      </x:c>
      <x:c r="C339" s="30" t="n">
        <x:v>558429</x:v>
      </x:c>
      <x:c r="D339" s="32" t="str">
        <x:v>Garganey</x:v>
      </x:c>
      <x:c r="E339" s="32" t="str">
        <x:v>Spatula querquedula</x:v>
      </x:c>
      <x:c r="F339" s="30" t="str">
        <x:v>uncommon</x:v>
      </x:c>
      <x:c r="G339" s="30" t="str">
        <x:v>standard</x:v>
      </x:c>
      <x:c r="H339" s="30" t="str">
        <x:v>year-round</x:v>
      </x:c>
      <x:c r="I3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0">
      <x:c r="A340" s="36" t="str">
        <x:v>mediterranean_europe</x:v>
      </x:c>
      <x:c r="B340" s="30" t="str">
        <x:v>mediterranean-europe-broad-draft-1</x:v>
      </x:c>
      <x:c r="C340" s="30" t="n">
        <x:v>1289467</x:v>
      </x:c>
      <x:c r="D340" s="32" t="str">
        <x:v>Dartford Warbler</x:v>
      </x:c>
      <x:c r="E340" s="32" t="str">
        <x:v>Curruca undata</x:v>
      </x:c>
      <x:c r="F340" s="30" t="str">
        <x:v>uncommon</x:v>
      </x:c>
      <x:c r="G340" s="30" t="str">
        <x:v>standard</x:v>
      </x:c>
      <x:c r="H340" s="30" t="str">
        <x:v>year-round</x:v>
      </x:c>
      <x:c r="I3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1">
      <x:c r="A341" s="36" t="str">
        <x:v>mediterranean_europe</x:v>
      </x:c>
      <x:c r="B341" s="30" t="str">
        <x:v>mediterranean-europe-broad-draft-1</x:v>
      </x:c>
      <x:c r="C341" s="30" t="n">
        <x:v>117007</x:v>
      </x:c>
      <x:c r="D341" s="32" t="str">
        <x:v>Western Bonelli's Warbler</x:v>
      </x:c>
      <x:c r="E341" s="32" t="str">
        <x:v>Phylloscopus bonelli</x:v>
      </x:c>
      <x:c r="F341" s="30" t="str">
        <x:v>uncommon</x:v>
      </x:c>
      <x:c r="G341" s="30" t="str">
        <x:v>standard</x:v>
      </x:c>
      <x:c r="H341" s="30" t="str">
        <x:v>year-round</x:v>
      </x:c>
      <x:c r="I3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2">
      <x:c r="A342" s="36" t="str">
        <x:v>mediterranean_europe</x:v>
      </x:c>
      <x:c r="B342" s="30" t="str">
        <x:v>mediterranean-europe-broad-draft-1</x:v>
      </x:c>
      <x:c r="C342" s="30" t="n">
        <x:v>4504</x:v>
      </x:c>
      <x:c r="D342" s="32" t="str">
        <x:v>Atlantic Puffin</x:v>
      </x:c>
      <x:c r="E342" s="32" t="str">
        <x:v>Fratercula arctica</x:v>
      </x:c>
      <x:c r="F342" s="30" t="str">
        <x:v>uncommon</x:v>
      </x:c>
      <x:c r="G342" s="30" t="str">
        <x:v>standard</x:v>
      </x:c>
      <x:c r="H342" s="30" t="str">
        <x:v>year-round</x:v>
      </x:c>
      <x:c r="I3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3">
      <x:c r="A343" s="36" t="str">
        <x:v>mediterranean_europe</x:v>
      </x:c>
      <x:c r="B343" s="30" t="str">
        <x:v>mediterranean-europe-broad-draft-1</x:v>
      </x:c>
      <x:c r="C343" s="30" t="n">
        <x:v>9462</x:v>
      </x:c>
      <x:c r="D343" s="32" t="str">
        <x:v>Eurasian Bullfinch</x:v>
      </x:c>
      <x:c r="E343" s="32" t="str">
        <x:v>Pyrrhula pyrrhula</x:v>
      </x:c>
      <x:c r="F343" s="30" t="str">
        <x:v>uncommon</x:v>
      </x:c>
      <x:c r="G343" s="30" t="str">
        <x:v>standard</x:v>
      </x:c>
      <x:c r="H343" s="30" t="str">
        <x:v>year-round</x:v>
      </x:c>
      <x:c r="I3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4">
      <x:c r="A344" s="36" t="str">
        <x:v>mediterranean_europe</x:v>
      </x:c>
      <x:c r="B344" s="30" t="str">
        <x:v>mediterranean-europe-broad-draft-1</x:v>
      </x:c>
      <x:c r="C344" s="30" t="n">
        <x:v>18448</x:v>
      </x:c>
      <x:c r="D344" s="32" t="str">
        <x:v>Eurasian Wryneck</x:v>
      </x:c>
      <x:c r="E344" s="32" t="str">
        <x:v>Jynx torquilla</x:v>
      </x:c>
      <x:c r="F344" s="30" t="str">
        <x:v>uncommon</x:v>
      </x:c>
      <x:c r="G344" s="30" t="str">
        <x:v>standard</x:v>
      </x:c>
      <x:c r="H344" s="30" t="str">
        <x:v>year-round</x:v>
      </x:c>
      <x:c r="I3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5">
      <x:c r="A345" s="36" t="str">
        <x:v>mediterranean_europe</x:v>
      </x:c>
      <x:c r="B345" s="30" t="str">
        <x:v>mediterranean-europe-broad-draft-1</x:v>
      </x:c>
      <x:c r="C345" s="30" t="n">
        <x:v>11941</x:v>
      </x:c>
      <x:c r="D345" s="32" t="str">
        <x:v>Bank Swallow</x:v>
      </x:c>
      <x:c r="E345" s="32" t="str">
        <x:v>Riparia riparia</x:v>
      </x:c>
      <x:c r="F345" s="30" t="str">
        <x:v>uncommon</x:v>
      </x:c>
      <x:c r="G345" s="30" t="str">
        <x:v>standard</x:v>
      </x:c>
      <x:c r="H345" s="30" t="str">
        <x:v>year-round</x:v>
      </x:c>
      <x:c r="I3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6">
      <x:c r="A346" s="36" t="str">
        <x:v>mediterranean_europe</x:v>
      </x:c>
      <x:c r="B346" s="30" t="str">
        <x:v>mediterranean-europe-broad-draft-1</x:v>
      </x:c>
      <x:c r="C346" s="30" t="n">
        <x:v>117011</x:v>
      </x:c>
      <x:c r="D346" s="32" t="str">
        <x:v>Canary Islands Chiffchaff</x:v>
      </x:c>
      <x:c r="E346" s="32" t="str">
        <x:v>Phylloscopus canariensis</x:v>
      </x:c>
      <x:c r="F346" s="30" t="str">
        <x:v>uncommon</x:v>
      </x:c>
      <x:c r="G346" s="30" t="str">
        <x:v>standard</x:v>
      </x:c>
      <x:c r="H346" s="30" t="str">
        <x:v>year-round</x:v>
      </x:c>
      <x:c r="I3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7">
      <x:c r="A347" s="36" t="str">
        <x:v>mediterranean_europe</x:v>
      </x:c>
      <x:c r="B347" s="30" t="str">
        <x:v>mediterranean-europe-broad-draft-1</x:v>
      </x:c>
      <x:c r="C347" s="30" t="n">
        <x:v>1204</x:v>
      </x:c>
      <x:c r="D347" s="32" t="str">
        <x:v>Indian Peafowl</x:v>
      </x:c>
      <x:c r="E347" s="32" t="str">
        <x:v>Pavo cristatus</x:v>
      </x:c>
      <x:c r="F347" s="30" t="str">
        <x:v>uncommon</x:v>
      </x:c>
      <x:c r="G347" s="30" t="str">
        <x:v>standard</x:v>
      </x:c>
      <x:c r="H347" s="30" t="str">
        <x:v>year-round</x:v>
      </x:c>
      <x:c r="I3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8">
      <x:c r="A348" s="36" t="str">
        <x:v>mediterranean_europe</x:v>
      </x:c>
      <x:c r="B348" s="30" t="str">
        <x:v>mediterranean-europe-broad-draft-1</x:v>
      </x:c>
      <x:c r="C348" s="30" t="n">
        <x:v>12707</x:v>
      </x:c>
      <x:c r="D348" s="32" t="str">
        <x:v>Fieldfare</x:v>
      </x:c>
      <x:c r="E348" s="32" t="str">
        <x:v>Turdus pilaris</x:v>
      </x:c>
      <x:c r="F348" s="30" t="str">
        <x:v>uncommon</x:v>
      </x:c>
      <x:c r="G348" s="30" t="str">
        <x:v>standard</x:v>
      </x:c>
      <x:c r="H348" s="30" t="str">
        <x:v>year-round</x:v>
      </x:c>
      <x:c r="I3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49">
      <x:c r="A349" s="36" t="str">
        <x:v>mediterranean_europe</x:v>
      </x:c>
      <x:c r="B349" s="30" t="str">
        <x:v>mediterranean-europe-broad-draft-1</x:v>
      </x:c>
      <x:c r="C349" s="30" t="n">
        <x:v>4356</x:v>
      </x:c>
      <x:c r="D349" s="32" t="str">
        <x:v>Common Gull</x:v>
      </x:c>
      <x:c r="E349" s="32" t="str">
        <x:v>Larus canus</x:v>
      </x:c>
      <x:c r="F349" s="30" t="str">
        <x:v>uncommon</x:v>
      </x:c>
      <x:c r="G349" s="30" t="str">
        <x:v>standard</x:v>
      </x:c>
      <x:c r="H349" s="30" t="str">
        <x:v>year-round</x:v>
      </x:c>
      <x:c r="I3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0">
      <x:c r="A350" s="36" t="str">
        <x:v>mediterranean_europe</x:v>
      </x:c>
      <x:c r="B350" s="30" t="str">
        <x:v>mediterranean-europe-broad-draft-1</x:v>
      </x:c>
      <x:c r="C350" s="30" t="n">
        <x:v>4889</x:v>
      </x:c>
      <x:c r="D350" s="32" t="str">
        <x:v>European Golden-Plover</x:v>
      </x:c>
      <x:c r="E350" s="32" t="str">
        <x:v>Pluvialis apricaria</x:v>
      </x:c>
      <x:c r="F350" s="30" t="str">
        <x:v>uncommon</x:v>
      </x:c>
      <x:c r="G350" s="30" t="str">
        <x:v>standard</x:v>
      </x:c>
      <x:c r="H350" s="30" t="str">
        <x:v>year-round</x:v>
      </x:c>
      <x:c r="I3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1">
      <x:c r="A351" s="36" t="str">
        <x:v>mediterranean_europe</x:v>
      </x:c>
      <x:c r="B351" s="30" t="str">
        <x:v>mediterranean-europe-broad-draft-1</x:v>
      </x:c>
      <x:c r="C351" s="30" t="n">
        <x:v>7139</x:v>
      </x:c>
      <x:c r="D351" s="32" t="str">
        <x:v>Marbled Duck</x:v>
      </x:c>
      <x:c r="E351" s="32" t="str">
        <x:v>Marmaronetta angustirostris</x:v>
      </x:c>
      <x:c r="F351" s="30" t="str">
        <x:v>uncommon</x:v>
      </x:c>
      <x:c r="G351" s="30" t="str">
        <x:v>standard</x:v>
      </x:c>
      <x:c r="H351" s="30" t="str">
        <x:v>year-round</x:v>
      </x:c>
      <x:c r="I3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2">
      <x:c r="A352" s="36" t="str">
        <x:v>mediterranean_europe</x:v>
      </x:c>
      <x:c r="B352" s="30" t="str">
        <x:v>mediterranean-europe-broad-draft-1</x:v>
      </x:c>
      <x:c r="C352" s="30" t="n">
        <x:v>3951</x:v>
      </x:c>
      <x:c r="D352" s="32" t="str">
        <x:v>Bar-tailed Godwit</x:v>
      </x:c>
      <x:c r="E352" s="32" t="str">
        <x:v>Limosa lapponica</x:v>
      </x:c>
      <x:c r="F352" s="30" t="str">
        <x:v>uncommon</x:v>
      </x:c>
      <x:c r="G352" s="30" t="str">
        <x:v>standard</x:v>
      </x:c>
      <x:c r="H352" s="30" t="str">
        <x:v>year-round</x:v>
      </x:c>
      <x:c r="I3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3">
      <x:c r="A353" s="36" t="str">
        <x:v>mediterranean_europe</x:v>
      </x:c>
      <x:c r="B353" s="30" t="str">
        <x:v>mediterranean-europe-broad-draft-1</x:v>
      </x:c>
      <x:c r="C353" s="30" t="n">
        <x:v>20445</x:v>
      </x:c>
      <x:c r="D353" s="32" t="str">
        <x:v>Western Barn Owl</x:v>
      </x:c>
      <x:c r="E353" s="32" t="str">
        <x:v>Tyto alba</x:v>
      </x:c>
      <x:c r="F353" s="30" t="str">
        <x:v>uncommon</x:v>
      </x:c>
      <x:c r="G353" s="30" t="str">
        <x:v>standard</x:v>
      </x:c>
      <x:c r="H353" s="30" t="str">
        <x:v>year-round</x:v>
      </x:c>
      <x:c r="I3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4">
      <x:c r="A354" s="36" t="str">
        <x:v>mediterranean_europe</x:v>
      </x:c>
      <x:c r="B354" s="30" t="str">
        <x:v>mediterranean-europe-broad-draft-1</x:v>
      </x:c>
      <x:c r="C354" s="30" t="n">
        <x:v>12838</x:v>
      </x:c>
      <x:c r="D354" s="32" t="str">
        <x:v>Black Wheatear</x:v>
      </x:c>
      <x:c r="E354" s="32" t="str">
        <x:v>Oenanthe leucura</x:v>
      </x:c>
      <x:c r="F354" s="30" t="str">
        <x:v>uncommon</x:v>
      </x:c>
      <x:c r="G354" s="30" t="str">
        <x:v>standard</x:v>
      </x:c>
      <x:c r="H354" s="30" t="str">
        <x:v>year-round</x:v>
      </x:c>
      <x:c r="I3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5">
      <x:c r="A355" s="36" t="str">
        <x:v>mediterranean_europe</x:v>
      </x:c>
      <x:c r="B355" s="30" t="str">
        <x:v>mediterranean-europe-broad-draft-1</x:v>
      </x:c>
      <x:c r="C355" s="30" t="n">
        <x:v>20059</x:v>
      </x:c>
      <x:c r="D355" s="32" t="str">
        <x:v>Eurasian Eagle-Owl</x:v>
      </x:c>
      <x:c r="E355" s="32" t="str">
        <x:v>Bubo bubo</x:v>
      </x:c>
      <x:c r="F355" s="30" t="str">
        <x:v>uncommon</x:v>
      </x:c>
      <x:c r="G355" s="30" t="str">
        <x:v>standard</x:v>
      </x:c>
      <x:c r="H355" s="30" t="str">
        <x:v>year-round</x:v>
      </x:c>
      <x:c r="I3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6">
      <x:c r="A356" s="36" t="str">
        <x:v>mediterranean_europe</x:v>
      </x:c>
      <x:c r="B356" s="30" t="str">
        <x:v>mediterranean-europe-broad-draft-1</x:v>
      </x:c>
      <x:c r="C356" s="30" t="n">
        <x:v>13712</x:v>
      </x:c>
      <x:c r="D356" s="32" t="str">
        <x:v>Tawny Pipit</x:v>
      </x:c>
      <x:c r="E356" s="32" t="str">
        <x:v>Anthus campestris</x:v>
      </x:c>
      <x:c r="F356" s="30" t="str">
        <x:v>uncommon</x:v>
      </x:c>
      <x:c r="G356" s="30" t="str">
        <x:v>standard</x:v>
      </x:c>
      <x:c r="H356" s="30" t="str">
        <x:v>year-round</x:v>
      </x:c>
      <x:c r="I3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7">
      <x:c r="A357" s="36" t="str">
        <x:v>mediterranean_europe</x:v>
      </x:c>
      <x:c r="B357" s="30" t="str">
        <x:v>mediterranean-europe-broad-draft-1</x:v>
      </x:c>
      <x:c r="C357" s="30" t="n">
        <x:v>559064</x:v>
      </x:c>
      <x:c r="D357" s="32" t="str">
        <x:v>Hen Harrier</x:v>
      </x:c>
      <x:c r="E357" s="32" t="str">
        <x:v>Circus cyaneus</x:v>
      </x:c>
      <x:c r="F357" s="30" t="str">
        <x:v>uncommon</x:v>
      </x:c>
      <x:c r="G357" s="30" t="str">
        <x:v>standard</x:v>
      </x:c>
      <x:c r="H357" s="30" t="str">
        <x:v>year-round</x:v>
      </x:c>
      <x:c r="I3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8">
      <x:c r="A358" s="36" t="str">
        <x:v>mediterranean_europe</x:v>
      </x:c>
      <x:c r="B358" s="30" t="str">
        <x:v>mediterranean-europe-broad-draft-1</x:v>
      </x:c>
      <x:c r="C358" s="30" t="n">
        <x:v>13676</x:v>
      </x:c>
      <x:c r="D358" s="32" t="str">
        <x:v>Eurasian Penduline-Tit</x:v>
      </x:c>
      <x:c r="E358" s="32" t="str">
        <x:v>Remiz pendulinus</x:v>
      </x:c>
      <x:c r="F358" s="30" t="str">
        <x:v>uncommon</x:v>
      </x:c>
      <x:c r="G358" s="30" t="str">
        <x:v>standard</x:v>
      </x:c>
      <x:c r="H358" s="30" t="str">
        <x:v>year-round</x:v>
      </x:c>
      <x:c r="I3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59">
      <x:c r="A359" s="36" t="str">
        <x:v>mediterranean_europe</x:v>
      </x:c>
      <x:c r="B359" s="30" t="str">
        <x:v>mediterranean-europe-broad-draft-1</x:v>
      </x:c>
      <x:c r="C359" s="30" t="n">
        <x:v>9195</x:v>
      </x:c>
      <x:c r="D359" s="32" t="str">
        <x:v>Yellowhammer</x:v>
      </x:c>
      <x:c r="E359" s="32" t="str">
        <x:v>Emberiza citrinella</x:v>
      </x:c>
      <x:c r="F359" s="30" t="str">
        <x:v>uncommon</x:v>
      </x:c>
      <x:c r="G359" s="30" t="str">
        <x:v>standard</x:v>
      </x:c>
      <x:c r="H359" s="30" t="str">
        <x:v>year-round</x:v>
      </x:c>
      <x:c r="I3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0">
      <x:c r="A360" s="36" t="str">
        <x:v>mediterranean_europe</x:v>
      </x:c>
      <x:c r="B360" s="30" t="str">
        <x:v>mediterranean-europe-broad-draft-1</x:v>
      </x:c>
      <x:c r="C360" s="30" t="n">
        <x:v>13071</x:v>
      </x:c>
      <x:c r="D360" s="32" t="str">
        <x:v>Bluethroat</x:v>
      </x:c>
      <x:c r="E360" s="32" t="str">
        <x:v>Luscinia svecica</x:v>
      </x:c>
      <x:c r="F360" s="30" t="str">
        <x:v>uncommon</x:v>
      </x:c>
      <x:c r="G360" s="30" t="str">
        <x:v>standard</x:v>
      </x:c>
      <x:c r="H360" s="30" t="str">
        <x:v>year-round</x:v>
      </x:c>
      <x:c r="I3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1">
      <x:c r="A361" s="36" t="str">
        <x:v>mediterranean_europe</x:v>
      </x:c>
      <x:c r="B361" s="30" t="str">
        <x:v>mediterranean-europe-broad-draft-1</x:v>
      </x:c>
      <x:c r="C361" s="30" t="n">
        <x:v>19410</x:v>
      </x:c>
      <x:c r="D361" s="32" t="str">
        <x:v>Eurasian Nightjar</x:v>
      </x:c>
      <x:c r="E361" s="32" t="str">
        <x:v>Caprimulgus europaeus</x:v>
      </x:c>
      <x:c r="F361" s="30" t="str">
        <x:v>uncommon</x:v>
      </x:c>
      <x:c r="G361" s="30" t="str">
        <x:v>standard</x:v>
      </x:c>
      <x:c r="H361" s="30" t="str">
        <x:v>year-round</x:v>
      </x:c>
      <x:c r="I3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2">
      <x:c r="A362" s="36" t="str">
        <x:v>mediterranean_europe</x:v>
      </x:c>
      <x:c r="B362" s="30" t="str">
        <x:v>mediterranean-europe-broad-draft-1</x:v>
      </x:c>
      <x:c r="C362" s="30" t="n">
        <x:v>792977</x:v>
      </x:c>
      <x:c r="D362" s="32" t="str">
        <x:v>Lesser Spotted Woodpecker</x:v>
      </x:c>
      <x:c r="E362" s="32" t="str">
        <x:v>Dryobates minor</x:v>
      </x:c>
      <x:c r="F362" s="30" t="str">
        <x:v>uncommon</x:v>
      </x:c>
      <x:c r="G362" s="30" t="str">
        <x:v>standard</x:v>
      </x:c>
      <x:c r="H362" s="30" t="str">
        <x:v>year-round</x:v>
      </x:c>
      <x:c r="I3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3">
      <x:c r="A363" s="36" t="str">
        <x:v>mediterranean_europe</x:v>
      </x:c>
      <x:c r="B363" s="30" t="str">
        <x:v>mediterranean-europe-broad-draft-1</x:v>
      </x:c>
      <x:c r="C363" s="30" t="n">
        <x:v>4604</x:v>
      </x:c>
      <x:c r="D363" s="32" t="str">
        <x:v>Collared Pratincole</x:v>
      </x:c>
      <x:c r="E363" s="32" t="str">
        <x:v>Glareola pratincola</x:v>
      </x:c>
      <x:c r="F363" s="30" t="str">
        <x:v>uncommon</x:v>
      </x:c>
      <x:c r="G363" s="30" t="str">
        <x:v>standard</x:v>
      </x:c>
      <x:c r="H363" s="30" t="str">
        <x:v>year-round</x:v>
      </x:c>
      <x:c r="I3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4">
      <x:c r="A364" s="36" t="str">
        <x:v>mediterranean_europe</x:v>
      </x:c>
      <x:c r="B364" s="30" t="str">
        <x:v>mediterranean-europe-broad-draft-1</x:v>
      </x:c>
      <x:c r="C364" s="30" t="n">
        <x:v>144536</x:v>
      </x:c>
      <x:c r="D364" s="32" t="str">
        <x:v>Gull-billed Tern</x:v>
      </x:c>
      <x:c r="E364" s="32" t="str">
        <x:v>Gelochelidon nilotica</x:v>
      </x:c>
      <x:c r="F364" s="30" t="str">
        <x:v>uncommon</x:v>
      </x:c>
      <x:c r="G364" s="30" t="str">
        <x:v>standard</x:v>
      </x:c>
      <x:c r="H364" s="30" t="str">
        <x:v>year-round</x:v>
      </x:c>
      <x:c r="I3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5">
      <x:c r="A365" s="36" t="str">
        <x:v>mediterranean_europe</x:v>
      </x:c>
      <x:c r="B365" s="30" t="str">
        <x:v>mediterranean-europe-broad-draft-1</x:v>
      </x:c>
      <x:c r="C365" s="30" t="n">
        <x:v>12825</x:v>
      </x:c>
      <x:c r="D365" s="32" t="str">
        <x:v>Western Black-eared Wheatear</x:v>
      </x:c>
      <x:c r="E365" s="32" t="str">
        <x:v>Oenanthe hispanica</x:v>
      </x:c>
      <x:c r="F365" s="30" t="str">
        <x:v>uncommon</x:v>
      </x:c>
      <x:c r="G365" s="30" t="str">
        <x:v>standard</x:v>
      </x:c>
      <x:c r="H365" s="30" t="str">
        <x:v>year-round</x:v>
      </x:c>
      <x:c r="I3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6">
      <x:c r="A366" s="36" t="str">
        <x:v>mediterranean_europe</x:v>
      </x:c>
      <x:c r="B366" s="30" t="str">
        <x:v>mediterranean-europe-broad-draft-1</x:v>
      </x:c>
      <x:c r="C366" s="30" t="n">
        <x:v>132</x:v>
      </x:c>
      <x:c r="D366" s="32" t="str">
        <x:v>Little Bustard</x:v>
      </x:c>
      <x:c r="E366" s="32" t="str">
        <x:v>Tetrax tetrax</x:v>
      </x:c>
      <x:c r="F366" s="30" t="str">
        <x:v>uncommon</x:v>
      </x:c>
      <x:c r="G366" s="30" t="str">
        <x:v>standard</x:v>
      </x:c>
      <x:c r="H366" s="30" t="str">
        <x:v>year-round</x:v>
      </x:c>
      <x:c r="I3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7">
      <x:c r="A367" s="36" t="str">
        <x:v>mediterranean_europe</x:v>
      </x:c>
      <x:c r="B367" s="30" t="str">
        <x:v>mediterranean-europe-broad-draft-1</x:v>
      </x:c>
      <x:c r="C367" s="30" t="n">
        <x:v>5275</x:v>
      </x:c>
      <x:c r="D367" s="32" t="str">
        <x:v>Black-winged Kite</x:v>
      </x:c>
      <x:c r="E367" s="32" t="str">
        <x:v>Elanus caeruleus</x:v>
      </x:c>
      <x:c r="F367" s="30" t="str">
        <x:v>uncommon</x:v>
      </x:c>
      <x:c r="G367" s="30" t="str">
        <x:v>standard</x:v>
      </x:c>
      <x:c r="H367" s="30" t="str">
        <x:v>year-round</x:v>
      </x:c>
      <x:c r="I3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8">
      <x:c r="A368" s="36" t="str">
        <x:v>mediterranean_europe</x:v>
      </x:c>
      <x:c r="B368" s="30" t="str">
        <x:v>mediterranean-europe-broad-draft-1</x:v>
      </x:c>
      <x:c r="C368" s="30" t="n">
        <x:v>5379</x:v>
      </x:c>
      <x:c r="D368" s="32" t="str">
        <x:v>Bearded Vulture</x:v>
      </x:c>
      <x:c r="E368" s="32" t="str">
        <x:v>Gypaetus barbatus</x:v>
      </x:c>
      <x:c r="F368" s="30" t="str">
        <x:v>uncommon</x:v>
      </x:c>
      <x:c r="G368" s="30" t="str">
        <x:v>standard</x:v>
      </x:c>
      <x:c r="H368" s="30" t="str">
        <x:v>year-round</x:v>
      </x:c>
      <x:c r="I3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69">
      <x:c r="A369" s="36" t="str">
        <x:v>mediterranean_europe</x:v>
      </x:c>
      <x:c r="B369" s="30" t="str">
        <x:v>mediterranean-europe-broad-draft-1</x:v>
      </x:c>
      <x:c r="C369" s="30" t="n">
        <x:v>204552</x:v>
      </x:c>
      <x:c r="D369" s="32" t="str">
        <x:v>Northern Nutcracker</x:v>
      </x:c>
      <x:c r="E369" s="32" t="str">
        <x:v>Nucifraga caryocatactes</x:v>
      </x:c>
      <x:c r="F369" s="30" t="str">
        <x:v>uncommon</x:v>
      </x:c>
      <x:c r="G369" s="30" t="str">
        <x:v>standard</x:v>
      </x:c>
      <x:c r="H369" s="30" t="str">
        <x:v>year-round</x:v>
      </x:c>
      <x:c r="I3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0">
      <x:c r="A370" s="36" t="str">
        <x:v>mediterranean_europe</x:v>
      </x:c>
      <x:c r="B370" s="30" t="str">
        <x:v>mediterranean-europe-broad-draft-1</x:v>
      </x:c>
      <x:c r="C370" s="30" t="n">
        <x:v>1286971</x:v>
      </x:c>
      <x:c r="D370" s="32" t="str">
        <x:v>Eastern Black-eared Wheatear</x:v>
      </x:c>
      <x:c r="E370" s="32" t="str">
        <x:v>Oenanthe melanoleuca</x:v>
      </x:c>
      <x:c r="F370" s="30" t="str">
        <x:v>uncommon</x:v>
      </x:c>
      <x:c r="G370" s="30" t="str">
        <x:v>standard</x:v>
      </x:c>
      <x:c r="H370" s="30" t="str">
        <x:v>year-round</x:v>
      </x:c>
      <x:c r="I3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1">
      <x:c r="A371" s="36" t="str">
        <x:v>mediterranean_europe</x:v>
      </x:c>
      <x:c r="B371" s="30" t="str">
        <x:v>mediterranean-europe-broad-draft-1</x:v>
      </x:c>
      <x:c r="C371" s="30" t="n">
        <x:v>487</x:v>
      </x:c>
      <x:c r="D371" s="32" t="str">
        <x:v>Red-knobbed Coot</x:v>
      </x:c>
      <x:c r="E371" s="32" t="str">
        <x:v>Fulica cristata</x:v>
      </x:c>
      <x:c r="F371" s="30" t="str">
        <x:v>uncommon</x:v>
      </x:c>
      <x:c r="G371" s="30" t="str">
        <x:v>standard</x:v>
      </x:c>
      <x:c r="H371" s="30" t="str">
        <x:v>year-round</x:v>
      </x:c>
      <x:c r="I3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2">
      <x:c r="A372" s="36" t="str">
        <x:v>mediterranean_europe</x:v>
      </x:c>
      <x:c r="B372" s="30" t="str">
        <x:v>mediterranean-europe-broad-draft-1</x:v>
      </x:c>
      <x:c r="C372" s="30" t="n">
        <x:v>144537</x:v>
      </x:c>
      <x:c r="D372" s="32" t="str">
        <x:v>Caspian Tern</x:v>
      </x:c>
      <x:c r="E372" s="32" t="str">
        <x:v>Hydroprogne caspia</x:v>
      </x:c>
      <x:c r="F372" s="30" t="str">
        <x:v>uncommon</x:v>
      </x:c>
      <x:c r="G372" s="30" t="str">
        <x:v>standard</x:v>
      </x:c>
      <x:c r="H372" s="30" t="str">
        <x:v>year-round</x:v>
      </x:c>
      <x:c r="I3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3">
      <x:c r="A373" s="36" t="str">
        <x:v>mediterranean_europe</x:v>
      </x:c>
      <x:c r="B373" s="30" t="str">
        <x:v>mediterranean-europe-broad-draft-1</x:v>
      </x:c>
      <x:c r="C373" s="30" t="n">
        <x:v>559070</x:v>
      </x:c>
      <x:c r="D373" s="32" t="str">
        <x:v>Great Gray Shrike</x:v>
      </x:c>
      <x:c r="E373" s="32" t="str">
        <x:v>Lanius excubitor</x:v>
      </x:c>
      <x:c r="F373" s="30" t="str">
        <x:v>uncommon</x:v>
      </x:c>
      <x:c r="G373" s="30" t="str">
        <x:v>standard</x:v>
      </x:c>
      <x:c r="H373" s="30" t="str">
        <x:v>year-round</x:v>
      </x:c>
      <x:c r="I3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4">
      <x:c r="A374" s="36" t="str">
        <x:v>mediterranean_europe</x:v>
      </x:c>
      <x:c r="B374" s="30" t="str">
        <x:v>mediterranean-europe-broad-draft-1</x:v>
      </x:c>
      <x:c r="C374" s="30" t="n">
        <x:v>3753</x:v>
      </x:c>
      <x:c r="D374" s="32" t="str">
        <x:v>Northern Bald Ibis</x:v>
      </x:c>
      <x:c r="E374" s="32" t="str">
        <x:v>Geronticus eremita</x:v>
      </x:c>
      <x:c r="F374" s="30" t="str">
        <x:v>uncommon</x:v>
      </x:c>
      <x:c r="G374" s="30" t="str">
        <x:v>standard</x:v>
      </x:c>
      <x:c r="H374" s="30" t="str">
        <x:v>year-round</x:v>
      </x:c>
      <x:c r="I3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5">
      <x:c r="A375" s="36" t="str">
        <x:v>mediterranean_europe</x:v>
      </x:c>
      <x:c r="B375" s="30" t="str">
        <x:v>mediterranean-europe-broad-draft-1</x:v>
      </x:c>
      <x:c r="C375" s="30" t="n">
        <x:v>204544</x:v>
      </x:c>
      <x:c r="D375" s="32" t="str">
        <x:v>White-winged Snowfinch</x:v>
      </x:c>
      <x:c r="E375" s="32" t="str">
        <x:v>Montifringilla nivalis</x:v>
      </x:c>
      <x:c r="F375" s="30" t="str">
        <x:v>uncommon</x:v>
      </x:c>
      <x:c r="G375" s="30" t="str">
        <x:v>standard</x:v>
      </x:c>
      <x:c r="H375" s="30" t="str">
        <x:v>year-round</x:v>
      </x:c>
      <x:c r="I3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6">
      <x:c r="A376" s="36" t="str">
        <x:v>mediterranean_europe</x:v>
      </x:c>
      <x:c r="B376" s="30" t="str">
        <x:v>mediterranean-europe-broad-draft-1</x:v>
      </x:c>
      <x:c r="C376" s="30" t="n">
        <x:v>7367</x:v>
      </x:c>
      <x:c r="D376" s="32" t="str">
        <x:v>Calandra Lark</x:v>
      </x:c>
      <x:c r="E376" s="32" t="str">
        <x:v>Melanocorypha calandra</x:v>
      </x:c>
      <x:c r="F376" s="30" t="str">
        <x:v>uncommon</x:v>
      </x:c>
      <x:c r="G376" s="30" t="str">
        <x:v>standard</x:v>
      </x:c>
      <x:c r="H376" s="30" t="str">
        <x:v>year-round</x:v>
      </x:c>
      <x:c r="I3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7">
      <x:c r="A377" s="36" t="str">
        <x:v>mediterranean_europe</x:v>
      </x:c>
      <x:c r="B377" s="30" t="str">
        <x:v>mediterranean-europe-broad-draft-1</x:v>
      </x:c>
      <x:c r="C377" s="30" t="n">
        <x:v>4671</x:v>
      </x:c>
      <x:c r="D377" s="32" t="str">
        <x:v>Eleonora's Falcon</x:v>
      </x:c>
      <x:c r="E377" s="32" t="str">
        <x:v>Falco eleonorae</x:v>
      </x:c>
      <x:c r="F377" s="30" t="str">
        <x:v>uncommon</x:v>
      </x:c>
      <x:c r="G377" s="30" t="str">
        <x:v>standard</x:v>
      </x:c>
      <x:c r="H377" s="30" t="str">
        <x:v>year-round</x:v>
      </x:c>
      <x:c r="I3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8">
      <x:c r="A378" s="36" t="str">
        <x:v>mediterranean_europe</x:v>
      </x:c>
      <x:c r="B378" s="30" t="str">
        <x:v>mediterranean-europe-broad-draft-1</x:v>
      </x:c>
      <x:c r="C378" s="30" t="n">
        <x:v>117027</x:v>
      </x:c>
      <x:c r="D378" s="32" t="str">
        <x:v>Iberian Chiffchaff</x:v>
      </x:c>
      <x:c r="E378" s="32" t="str">
        <x:v>Phylloscopus ibericus</x:v>
      </x:c>
      <x:c r="F378" s="30" t="str">
        <x:v>uncommon</x:v>
      </x:c>
      <x:c r="G378" s="30" t="str">
        <x:v>standard</x:v>
      </x:c>
      <x:c r="H378" s="30" t="str">
        <x:v>year-round</x:v>
      </x:c>
      <x:c r="I3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79">
      <x:c r="A379" s="36" t="str">
        <x:v>mediterranean_europe</x:v>
      </x:c>
      <x:c r="B379" s="30" t="str">
        <x:v>mediterranean-europe-broad-draft-1</x:v>
      </x:c>
      <x:c r="C379" s="30" t="n">
        <x:v>15302</x:v>
      </x:c>
      <x:c r="D379" s="32" t="str">
        <x:v>Garden Warbler</x:v>
      </x:c>
      <x:c r="E379" s="32" t="str">
        <x:v>Sylvia borin</x:v>
      </x:c>
      <x:c r="F379" s="30" t="str">
        <x:v>uncommon</x:v>
      </x:c>
      <x:c r="G379" s="30" t="str">
        <x:v>standard</x:v>
      </x:c>
      <x:c r="H379" s="30" t="str">
        <x:v>year-round</x:v>
      </x:c>
      <x:c r="I3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0">
      <x:c r="A380" s="36" t="str">
        <x:v>mediterranean_europe</x:v>
      </x:c>
      <x:c r="B380" s="30" t="str">
        <x:v>mediterranean-europe-broad-draft-1</x:v>
      </x:c>
      <x:c r="C380" s="30" t="n">
        <x:v>4368</x:v>
      </x:c>
      <x:c r="D380" s="32" t="str">
        <x:v>Great Black-backed Gull</x:v>
      </x:c>
      <x:c r="E380" s="32" t="str">
        <x:v>Larus marinus</x:v>
      </x:c>
      <x:c r="F380" s="30" t="str">
        <x:v>uncommon</x:v>
      </x:c>
      <x:c r="G380" s="30" t="str">
        <x:v>standard</x:v>
      </x:c>
      <x:c r="H380" s="30" t="str">
        <x:v>year-round</x:v>
      </x:c>
      <x:c r="I3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1">
      <x:c r="A381" s="36" t="str">
        <x:v>mediterranean_europe</x:v>
      </x:c>
      <x:c r="B381" s="30" t="str">
        <x:v>mediterranean-europe-broad-draft-1</x:v>
      </x:c>
      <x:c r="C381" s="30" t="n">
        <x:v>578093</x:v>
      </x:c>
      <x:c r="D381" s="32" t="str">
        <x:v>Greater Short-toed Lark</x:v>
      </x:c>
      <x:c r="E381" s="32" t="str">
        <x:v>Calandrella brachydactyla</x:v>
      </x:c>
      <x:c r="F381" s="30" t="str">
        <x:v>uncommon</x:v>
      </x:c>
      <x:c r="G381" s="30" t="str">
        <x:v>standard</x:v>
      </x:c>
      <x:c r="H381" s="30" t="str">
        <x:v>year-round</x:v>
      </x:c>
      <x:c r="I3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2">
      <x:c r="A382" s="36" t="str">
        <x:v>mediterranean_europe</x:v>
      </x:c>
      <x:c r="B382" s="30" t="str">
        <x:v>mediterranean-europe-broad-draft-1</x:v>
      </x:c>
      <x:c r="C382" s="30" t="n">
        <x:v>12749</x:v>
      </x:c>
      <x:c r="D382" s="32" t="str">
        <x:v>Redwing</x:v>
      </x:c>
      <x:c r="E382" s="32" t="str">
        <x:v>Turdus iliacus</x:v>
      </x:c>
      <x:c r="F382" s="30" t="str">
        <x:v>uncommon</x:v>
      </x:c>
      <x:c r="G382" s="30" t="str">
        <x:v>standard</x:v>
      </x:c>
      <x:c r="H382" s="30" t="str">
        <x:v>year-round</x:v>
      </x:c>
      <x:c r="I3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3">
      <x:c r="A383" s="36" t="str">
        <x:v>mediterranean_europe</x:v>
      </x:c>
      <x:c r="B383" s="30" t="str">
        <x:v>mediterranean-europe-broad-draft-1</x:v>
      </x:c>
      <x:c r="C383" s="30" t="n">
        <x:v>117048</x:v>
      </x:c>
      <x:c r="D383" s="32" t="str">
        <x:v>Wood Warbler</x:v>
      </x:c>
      <x:c r="E383" s="32" t="str">
        <x:v>Phylloscopus sibilatrix</x:v>
      </x:c>
      <x:c r="F383" s="30" t="str">
        <x:v>uncommon</x:v>
      </x:c>
      <x:c r="G383" s="30" t="str">
        <x:v>standard</x:v>
      </x:c>
      <x:c r="H383" s="30" t="str">
        <x:v>year-round</x:v>
      </x:c>
      <x:c r="I3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4">
      <x:c r="A384" s="36" t="str">
        <x:v>mediterranean_europe</x:v>
      </x:c>
      <x:c r="B384" s="30" t="str">
        <x:v>mediterranean-europe-broad-draft-1</x:v>
      </x:c>
      <x:c r="C384" s="30" t="n">
        <x:v>144467</x:v>
      </x:c>
      <x:c r="D384" s="32" t="str">
        <x:v>Bonelli's Eagle</x:v>
      </x:c>
      <x:c r="E384" s="32" t="str">
        <x:v>Aquila fasciata</x:v>
      </x:c>
      <x:c r="F384" s="30" t="str">
        <x:v>uncommon</x:v>
      </x:c>
      <x:c r="G384" s="30" t="str">
        <x:v>legendary</x:v>
      </x:c>
      <x:c r="H384" s="30" t="str">
        <x:v>year-round</x:v>
      </x:c>
      <x:c r="I384" s="37" t="str">
        <x:v>Owner-managed mediterranean_europe icon checklist; imported from mediterranean_europe_checklists.csv. Encounter rarity and prestige are curated game metadata. Automated rarity: inaturalist-regional-frequency-v1.</x:v>
      </x:c>
    </x:row>
    <x:row r="385">
      <x:c r="A385" s="36" t="str">
        <x:v>mediterranean_europe</x:v>
      </x:c>
      <x:c r="B385" s="30" t="str">
        <x:v>mediterranean-europe-broad-draft-1</x:v>
      </x:c>
      <x:c r="C385" s="30" t="n">
        <x:v>1289697</x:v>
      </x:c>
      <x:c r="D385" s="32" t="str">
        <x:v>Black Grouse</x:v>
      </x:c>
      <x:c r="E385" s="32" t="str">
        <x:v>Lyrurus tetrix</x:v>
      </x:c>
      <x:c r="F385" s="30" t="str">
        <x:v>uncommon</x:v>
      </x:c>
      <x:c r="G385" s="30" t="str">
        <x:v>standard</x:v>
      </x:c>
      <x:c r="H385" s="30" t="str">
        <x:v>year-round</x:v>
      </x:c>
      <x:c r="I3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6">
      <x:c r="A386" s="36" t="str">
        <x:v>mediterranean_europe</x:v>
      </x:c>
      <x:c r="B386" s="30" t="str">
        <x:v>mediterranean-europe-broad-draft-1</x:v>
      </x:c>
      <x:c r="C386" s="30" t="n">
        <x:v>117078</x:v>
      </x:c>
      <x:c r="D386" s="32" t="str">
        <x:v>Pin-tailed Sandgrouse</x:v>
      </x:c>
      <x:c r="E386" s="32" t="str">
        <x:v>Pterocles alchata</x:v>
      </x:c>
      <x:c r="F386" s="30" t="str">
        <x:v>uncommon</x:v>
      </x:c>
      <x:c r="G386" s="30" t="str">
        <x:v>standard</x:v>
      </x:c>
      <x:c r="H386" s="30" t="str">
        <x:v>year-round</x:v>
      </x:c>
      <x:c r="I3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7">
      <x:c r="A387" s="36" t="str">
        <x:v>mediterranean_europe</x:v>
      </x:c>
      <x:c r="B387" s="30" t="str">
        <x:v>mediterranean-europe-broad-draft-1</x:v>
      </x:c>
      <x:c r="C387" s="30" t="n">
        <x:v>1289200</x:v>
      </x:c>
      <x:c r="D387" s="32" t="str">
        <x:v>Eastern Subalpine Warbler</x:v>
      </x:c>
      <x:c r="E387" s="32" t="str">
        <x:v>Curruca cantillans</x:v>
      </x:c>
      <x:c r="F387" s="30" t="str">
        <x:v>uncommon</x:v>
      </x:c>
      <x:c r="G387" s="30" t="str">
        <x:v>standard</x:v>
      </x:c>
      <x:c r="H387" s="30" t="str">
        <x:v>year-round</x:v>
      </x:c>
      <x:c r="I3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8">
      <x:c r="A388" s="36" t="str">
        <x:v>mediterranean_europe</x:v>
      </x:c>
      <x:c r="B388" s="30" t="str">
        <x:v>mediterranean-europe-broad-draft-1</x:v>
      </x:c>
      <x:c r="C388" s="30" t="n">
        <x:v>6914</x:v>
      </x:c>
      <x:c r="D388" s="32" t="str">
        <x:v>Black Swan</x:v>
      </x:c>
      <x:c r="E388" s="32" t="str">
        <x:v>Cygnus atratus</x:v>
      </x:c>
      <x:c r="F388" s="30" t="str">
        <x:v>uncommon</x:v>
      </x:c>
      <x:c r="G388" s="30" t="str">
        <x:v>standard</x:v>
      </x:c>
      <x:c r="H388" s="30" t="str">
        <x:v>year-round</x:v>
      </x:c>
      <x:c r="I3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89">
      <x:c r="A389" s="36" t="str">
        <x:v>mediterranean_europe</x:v>
      </x:c>
      <x:c r="B389" s="30" t="str">
        <x:v>mediterranean-europe-broad-draft-1</x:v>
      </x:c>
      <x:c r="C389" s="30" t="n">
        <x:v>846</x:v>
      </x:c>
      <x:c r="D389" s="32" t="str">
        <x:v>Chukar</x:v>
      </x:c>
      <x:c r="E389" s="32" t="str">
        <x:v>Alectoris chukar</x:v>
      </x:c>
      <x:c r="F389" s="30" t="str">
        <x:v>uncommon</x:v>
      </x:c>
      <x:c r="G389" s="30" t="str">
        <x:v>standard</x:v>
      </x:c>
      <x:c r="H389" s="30" t="str">
        <x:v>year-round</x:v>
      </x:c>
      <x:c r="I3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0">
      <x:c r="A390" s="36" t="str">
        <x:v>mediterranean_europe</x:v>
      </x:c>
      <x:c r="B390" s="30" t="str">
        <x:v>mediterranean-europe-broad-draft-1</x:v>
      </x:c>
      <x:c r="C390" s="30" t="n">
        <x:v>4641</x:v>
      </x:c>
      <x:c r="D390" s="32" t="str">
        <x:v>Red-footed Falcon</x:v>
      </x:c>
      <x:c r="E390" s="32" t="str">
        <x:v>Falco vespertinus</x:v>
      </x:c>
      <x:c r="F390" s="30" t="str">
        <x:v>uncommon</x:v>
      </x:c>
      <x:c r="G390" s="30" t="str">
        <x:v>standard</x:v>
      </x:c>
      <x:c r="H390" s="30" t="str">
        <x:v>year-round</x:v>
      </x:c>
      <x:c r="I3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1">
      <x:c r="A391" s="36" t="str">
        <x:v>mediterranean_europe</x:v>
      </x:c>
      <x:c r="B391" s="30" t="str">
        <x:v>mediterranean-europe-broad-draft-1</x:v>
      </x:c>
      <x:c r="C391" s="30" t="n">
        <x:v>12740</x:v>
      </x:c>
      <x:c r="D391" s="32" t="str">
        <x:v>Ring Ouzel</x:v>
      </x:c>
      <x:c r="E391" s="32" t="str">
        <x:v>Turdus torquatus</x:v>
      </x:c>
      <x:c r="F391" s="30" t="str">
        <x:v>uncommon</x:v>
      </x:c>
      <x:c r="G391" s="30" t="str">
        <x:v>standard</x:v>
      </x:c>
      <x:c r="H391" s="30" t="str">
        <x:v>year-round</x:v>
      </x:c>
      <x:c r="I3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2">
      <x:c r="A392" s="36" t="str">
        <x:v>mediterranean_europe</x:v>
      </x:c>
      <x:c r="B392" s="30" t="str">
        <x:v>mediterranean-europe-broad-draft-1</x:v>
      </x:c>
      <x:c r="C392" s="30" t="n">
        <x:v>14872</x:v>
      </x:c>
      <x:c r="D392" s="32" t="str">
        <x:v>Crested Myna</x:v>
      </x:c>
      <x:c r="E392" s="32" t="str">
        <x:v>Acridotheres cristatellus</x:v>
      </x:c>
      <x:c r="F392" s="30" t="str">
        <x:v>uncommon</x:v>
      </x:c>
      <x:c r="G392" s="30" t="str">
        <x:v>standard</x:v>
      </x:c>
      <x:c r="H392" s="30" t="str">
        <x:v>year-round</x:v>
      </x:c>
      <x:c r="I3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3">
      <x:c r="A393" s="36" t="str">
        <x:v>mediterranean_europe</x:v>
      </x:c>
      <x:c r="B393" s="30" t="str">
        <x:v>mediterranean-europe-broad-draft-1</x:v>
      </x:c>
      <x:c r="C393" s="30" t="n">
        <x:v>3033</x:v>
      </x:c>
      <x:c r="D393" s="32" t="str">
        <x:v>Stock Dove</x:v>
      </x:c>
      <x:c r="E393" s="32" t="str">
        <x:v>Columba oenas</x:v>
      </x:c>
      <x:c r="F393" s="30" t="str">
        <x:v>uncommon</x:v>
      </x:c>
      <x:c r="G393" s="30" t="str">
        <x:v>standard</x:v>
      </x:c>
      <x:c r="H393" s="30" t="str">
        <x:v>year-round</x:v>
      </x:c>
      <x:c r="I3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4">
      <x:c r="A394" s="36" t="str">
        <x:v>mediterranean_europe</x:v>
      </x:c>
      <x:c r="B394" s="30" t="str">
        <x:v>mediterranean-europe-broad-draft-1</x:v>
      </x:c>
      <x:c r="C394" s="30" t="n">
        <x:v>13140</x:v>
      </x:c>
      <x:c r="D394" s="32" t="str">
        <x:v>Rufous-tailed Rock-Thrush</x:v>
      </x:c>
      <x:c r="E394" s="32" t="str">
        <x:v>Monticola saxatilis</x:v>
      </x:c>
      <x:c r="F394" s="30" t="str">
        <x:v>uncommon</x:v>
      </x:c>
      <x:c r="G394" s="30" t="str">
        <x:v>standard</x:v>
      </x:c>
      <x:c r="H394" s="30" t="str">
        <x:v>year-round</x:v>
      </x:c>
      <x:c r="I3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5">
      <x:c r="A395" s="36" t="str">
        <x:v>mediterranean_europe</x:v>
      </x:c>
      <x:c r="B395" s="30" t="str">
        <x:v>mediterranean-europe-broad-draft-1</x:v>
      </x:c>
      <x:c r="C395" s="30" t="n">
        <x:v>979721</x:v>
      </x:c>
      <x:c r="D395" s="32" t="str">
        <x:v>Tenerife Blue Chaffinch</x:v>
      </x:c>
      <x:c r="E395" s="32" t="str">
        <x:v>Fringilla teydea</x:v>
      </x:c>
      <x:c r="F395" s="30" t="str">
        <x:v>uncommon</x:v>
      </x:c>
      <x:c r="G395" s="30" t="str">
        <x:v>standard</x:v>
      </x:c>
      <x:c r="H395" s="30" t="str">
        <x:v>year-round</x:v>
      </x:c>
      <x:c r="I3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6">
      <x:c r="A396" s="36" t="str">
        <x:v>mediterranean_europe</x:v>
      </x:c>
      <x:c r="B396" s="30" t="str">
        <x:v>mediterranean-europe-broad-draft-1</x:v>
      </x:c>
      <x:c r="C396" s="30" t="n">
        <x:v>13974</x:v>
      </x:c>
      <x:c r="D396" s="32" t="str">
        <x:v>Yellow-crowned Bishop</x:v>
      </x:c>
      <x:c r="E396" s="32" t="str">
        <x:v>Euplectes afer</x:v>
      </x:c>
      <x:c r="F396" s="30" t="str">
        <x:v>uncommon</x:v>
      </x:c>
      <x:c r="G396" s="30" t="str">
        <x:v>standard</x:v>
      </x:c>
      <x:c r="H396" s="30" t="str">
        <x:v>year-round</x:v>
      </x:c>
      <x:c r="I3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7">
      <x:c r="A397" s="36" t="str">
        <x:v>mediterranean_europe</x:v>
      </x:c>
      <x:c r="B397" s="30" t="str">
        <x:v>mediterranean-europe-broad-draft-1</x:v>
      </x:c>
      <x:c r="C397" s="30" t="n">
        <x:v>509656</x:v>
      </x:c>
      <x:c r="D397" s="32" t="str">
        <x:v>Scopoli's Shearwater</x:v>
      </x:c>
      <x:c r="E397" s="32" t="str">
        <x:v>Calonectris diomedea</x:v>
      </x:c>
      <x:c r="F397" s="30" t="str">
        <x:v>uncommon</x:v>
      </x:c>
      <x:c r="G397" s="30" t="str">
        <x:v>standard</x:v>
      </x:c>
      <x:c r="H397" s="30" t="str">
        <x:v>year-round</x:v>
      </x:c>
      <x:c r="I3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8">
      <x:c r="A398" s="36" t="str">
        <x:v>mediterranean_europe</x:v>
      </x:c>
      <x:c r="B398" s="30" t="str">
        <x:v>mediterranean-europe-broad-draft-1</x:v>
      </x:c>
      <x:c r="C398" s="30" t="n">
        <x:v>19482</x:v>
      </x:c>
      <x:c r="D398" s="32" t="str">
        <x:v>Red-necked Nightjar</x:v>
      </x:c>
      <x:c r="E398" s="32" t="str">
        <x:v>Caprimulgus ruficollis</x:v>
      </x:c>
      <x:c r="F398" s="30" t="str">
        <x:v>uncommon</x:v>
      </x:c>
      <x:c r="G398" s="30" t="str">
        <x:v>standard</x:v>
      </x:c>
      <x:c r="H398" s="30" t="str">
        <x:v>year-round</x:v>
      </x:c>
      <x:c r="I3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399">
      <x:c r="A399" s="36" t="str">
        <x:v>mediterranean_europe</x:v>
      </x:c>
      <x:c r="B399" s="30" t="str">
        <x:v>mediterranean-europe-broad-draft-1</x:v>
      </x:c>
      <x:c r="C399" s="30" t="n">
        <x:v>116804</x:v>
      </x:c>
      <x:c r="D399" s="32" t="str">
        <x:v>Sedge Warbler</x:v>
      </x:c>
      <x:c r="E399" s="32" t="str">
        <x:v>Acrocephalus schoenobaenus</x:v>
      </x:c>
      <x:c r="F399" s="30" t="str">
        <x:v>uncommon</x:v>
      </x:c>
      <x:c r="G399" s="30" t="str">
        <x:v>standard</x:v>
      </x:c>
      <x:c r="H399" s="30" t="str">
        <x:v>year-round</x:v>
      </x:c>
      <x:c r="I3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0">
      <x:c r="A400" s="36" t="str">
        <x:v>mediterranean_europe</x:v>
      </x:c>
      <x:c r="B400" s="30" t="str">
        <x:v>mediterranean-europe-broad-draft-1</x:v>
      </x:c>
      <x:c r="C400" s="30" t="n">
        <x:v>4501</x:v>
      </x:c>
      <x:c r="D400" s="32" t="str">
        <x:v>Razorbill</x:v>
      </x:c>
      <x:c r="E400" s="32" t="str">
        <x:v>Alca torda</x:v>
      </x:c>
      <x:c r="F400" s="30" t="str">
        <x:v>uncommon</x:v>
      </x:c>
      <x:c r="G400" s="30" t="str">
        <x:v>standard</x:v>
      </x:c>
      <x:c r="H400" s="30" t="str">
        <x:v>year-round</x:v>
      </x:c>
      <x:c r="I4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1">
      <x:c r="A401" s="36" t="str">
        <x:v>mediterranean_europe</x:v>
      </x:c>
      <x:c r="B401" s="30" t="str">
        <x:v>mediterranean-europe-broad-draft-1</x:v>
      </x:c>
      <x:c r="C401" s="30" t="n">
        <x:v>4512</x:v>
      </x:c>
      <x:c r="D401" s="32" t="str">
        <x:v>Black Tern</x:v>
      </x:c>
      <x:c r="E401" s="32" t="str">
        <x:v>Chlidonias niger</x:v>
      </x:c>
      <x:c r="F401" s="30" t="str">
        <x:v>uncommon</x:v>
      </x:c>
      <x:c r="G401" s="30" t="str">
        <x:v>standard</x:v>
      </x:c>
      <x:c r="H401" s="30" t="str">
        <x:v>year-round</x:v>
      </x:c>
      <x:c r="I4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2">
      <x:c r="A402" s="36" t="str">
        <x:v>mediterranean_europe</x:v>
      </x:c>
      <x:c r="B402" s="30" t="str">
        <x:v>mediterranean-europe-broad-draft-1</x:v>
      </x:c>
      <x:c r="C402" s="30" t="n">
        <x:v>1455922</x:v>
      </x:c>
      <x:c r="D402" s="32" t="str">
        <x:v>Laughing Dove</x:v>
      </x:c>
      <x:c r="E402" s="32" t="str">
        <x:v>Spilopelia senegalensis</x:v>
      </x:c>
      <x:c r="F402" s="30" t="str">
        <x:v>uncommon</x:v>
      </x:c>
      <x:c r="G402" s="30" t="str">
        <x:v>standard</x:v>
      </x:c>
      <x:c r="H402" s="30" t="str">
        <x:v>year-round</x:v>
      </x:c>
      <x:c r="I4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3">
      <x:c r="A403" s="36" t="str">
        <x:v>mediterranean_europe</x:v>
      </x:c>
      <x:c r="B403" s="30" t="str">
        <x:v>mediterranean-europe-broad-draft-1</x:v>
      </x:c>
      <x:c r="C403" s="30" t="n">
        <x:v>144512</x:v>
      </x:c>
      <x:c r="D403" s="32" t="str">
        <x:v>Little Gull</x:v>
      </x:c>
      <x:c r="E403" s="32" t="str">
        <x:v>Hydrocoloeus minutus</x:v>
      </x:c>
      <x:c r="F403" s="30" t="str">
        <x:v>uncommon</x:v>
      </x:c>
      <x:c r="G403" s="30" t="str">
        <x:v>standard</x:v>
      </x:c>
      <x:c r="H403" s="30" t="str">
        <x:v>year-round</x:v>
      </x:c>
      <x:c r="I4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4">
      <x:c r="A404" s="36" t="str">
        <x:v>mediterranean_europe</x:v>
      </x:c>
      <x:c r="B404" s="30" t="str">
        <x:v>mediterranean-europe-broad-draft-1</x:v>
      </x:c>
      <x:c r="C404" s="30" t="n">
        <x:v>1504816</x:v>
      </x:c>
      <x:c r="D404" s="32" t="str">
        <x:v>Canary Islands Chaffinch</x:v>
      </x:c>
      <x:c r="E404" s="32" t="str">
        <x:v>Fringilla canariensis</x:v>
      </x:c>
      <x:c r="F404" s="30" t="str">
        <x:v>uncommon</x:v>
      </x:c>
      <x:c r="G404" s="30" t="str">
        <x:v>standard</x:v>
      </x:c>
      <x:c r="H404" s="30" t="str">
        <x:v>year-round</x:v>
      </x:c>
      <x:c r="I4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5">
      <x:c r="A405" s="36" t="str">
        <x:v>mediterranean_europe</x:v>
      </x:c>
      <x:c r="B405" s="30" t="str">
        <x:v>mediterranean-europe-broad-draft-1</x:v>
      </x:c>
      <x:c r="C405" s="30" t="n">
        <x:v>13793</x:v>
      </x:c>
      <x:c r="D405" s="32" t="str">
        <x:v>Black-headed Weaver</x:v>
      </x:c>
      <x:c r="E405" s="32" t="str">
        <x:v>Ploceus melanocephalus</x:v>
      </x:c>
      <x:c r="F405" s="30" t="str">
        <x:v>uncommon</x:v>
      </x:c>
      <x:c r="G405" s="30" t="str">
        <x:v>standard</x:v>
      </x:c>
      <x:c r="H405" s="30" t="str">
        <x:v>year-round</x:v>
      </x:c>
      <x:c r="I4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6">
      <x:c r="A406" s="36" t="str">
        <x:v>mediterranean_europe</x:v>
      </x:c>
      <x:c r="B406" s="30" t="str">
        <x:v>mediterranean-europe-broad-draft-1</x:v>
      </x:c>
      <x:c r="C406" s="30" t="n">
        <x:v>804</x:v>
      </x:c>
      <x:c r="D406" s="32" t="str">
        <x:v>Common Quail</x:v>
      </x:c>
      <x:c r="E406" s="32" t="str">
        <x:v>Coturnix coturnix</x:v>
      </x:c>
      <x:c r="F406" s="30" t="str">
        <x:v>uncommon</x:v>
      </x:c>
      <x:c r="G406" s="30" t="str">
        <x:v>standard</x:v>
      </x:c>
      <x:c r="H406" s="30" t="str">
        <x:v>year-round</x:v>
      </x:c>
      <x:c r="I4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7">
      <x:c r="A407" s="36" t="str">
        <x:v>mediterranean_europe</x:v>
      </x:c>
      <x:c r="B407" s="30" t="str">
        <x:v>mediterranean-europe-broad-draft-1</x:v>
      </x:c>
      <x:c r="C407" s="30" t="n">
        <x:v>7450</x:v>
      </x:c>
      <x:c r="D407" s="32" t="str">
        <x:v>Eurasian Treecreeper</x:v>
      </x:c>
      <x:c r="E407" s="32" t="str">
        <x:v>Certhia familiaris</x:v>
      </x:c>
      <x:c r="F407" s="30" t="str">
        <x:v>uncommon</x:v>
      </x:c>
      <x:c r="G407" s="30" t="str">
        <x:v>standard</x:v>
      </x:c>
      <x:c r="H407" s="30" t="str">
        <x:v>year-round</x:v>
      </x:c>
      <x:c r="I4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8">
      <x:c r="A408" s="36" t="str">
        <x:v>mediterranean_europe</x:v>
      </x:c>
      <x:c r="B408" s="30" t="str">
        <x:v>mediterranean-europe-broad-draft-1</x:v>
      </x:c>
      <x:c r="C408" s="30" t="n">
        <x:v>6996</x:v>
      </x:c>
      <x:c r="D408" s="32" t="str">
        <x:v>Red-breasted Merganser</x:v>
      </x:c>
      <x:c r="E408" s="32" t="str">
        <x:v>Mergus serrator</x:v>
      </x:c>
      <x:c r="F408" s="30" t="str">
        <x:v>uncommon</x:v>
      </x:c>
      <x:c r="G408" s="30" t="str">
        <x:v>standard</x:v>
      </x:c>
      <x:c r="H408" s="30" t="str">
        <x:v>year-round</x:v>
      </x:c>
      <x:c r="I4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09">
      <x:c r="A409" s="36" t="str">
        <x:v>mediterranean_europe</x:v>
      </x:c>
      <x:c r="B409" s="30" t="str">
        <x:v>mediterranean-europe-broad-draft-1</x:v>
      </x:c>
      <x:c r="C409" s="30" t="n">
        <x:v>6642</x:v>
      </x:c>
      <x:c r="D409" s="32" t="str">
        <x:v>Plain Swift</x:v>
      </x:c>
      <x:c r="E409" s="32" t="str">
        <x:v>Apus unicolor</x:v>
      </x:c>
      <x:c r="F409" s="30" t="str">
        <x:v>uncommon</x:v>
      </x:c>
      <x:c r="G409" s="30" t="str">
        <x:v>standard</x:v>
      </x:c>
      <x:c r="H409" s="30" t="str">
        <x:v>year-round</x:v>
      </x:c>
      <x:c r="I4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0">
      <x:c r="A410" s="36" t="str">
        <x:v>mediterranean_europe</x:v>
      </x:c>
      <x:c r="B410" s="30" t="str">
        <x:v>mediterranean-europe-broad-draft-1</x:v>
      </x:c>
      <x:c r="C410" s="30" t="n">
        <x:v>3845</x:v>
      </x:c>
      <x:c r="D410" s="32" t="str">
        <x:v>Red Knot</x:v>
      </x:c>
      <x:c r="E410" s="32" t="str">
        <x:v>Calidris canutus</x:v>
      </x:c>
      <x:c r="F410" s="30" t="str">
        <x:v>uncommon</x:v>
      </x:c>
      <x:c r="G410" s="30" t="str">
        <x:v>standard</x:v>
      </x:c>
      <x:c r="H410" s="30" t="str">
        <x:v>year-round</x:v>
      </x:c>
      <x:c r="I4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1">
      <x:c r="A411" s="36" t="str">
        <x:v>mediterranean_europe</x:v>
      </x:c>
      <x:c r="B411" s="30" t="str">
        <x:v>mediterranean-europe-broad-draft-1</x:v>
      </x:c>
      <x:c r="C411" s="30" t="n">
        <x:v>367564</x:v>
      </x:c>
      <x:c r="D411" s="32" t="str">
        <x:v>Blue-crowned Parakeet</x:v>
      </x:c>
      <x:c r="E411" s="32" t="str">
        <x:v>Thectocercus acuticaudatus</x:v>
      </x:c>
      <x:c r="F411" s="30" t="str">
        <x:v>uncommon</x:v>
      </x:c>
      <x:c r="G411" s="30" t="str">
        <x:v>standard</x:v>
      </x:c>
      <x:c r="H411" s="30" t="str">
        <x:v>year-round</x:v>
      </x:c>
      <x:c r="I4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2">
      <x:c r="A412" s="36" t="str">
        <x:v>mediterranean_europe</x:v>
      </x:c>
      <x:c r="B412" s="30" t="str">
        <x:v>mediterranean-europe-broad-draft-1</x:v>
      </x:c>
      <x:c r="C412" s="30" t="n">
        <x:v>4389</x:v>
      </x:c>
      <x:c r="D412" s="32" t="str">
        <x:v>Caspian Gull</x:v>
      </x:c>
      <x:c r="E412" s="32" t="str">
        <x:v>Larus cachinnans</x:v>
      </x:c>
      <x:c r="F412" s="30" t="str">
        <x:v>uncommon</x:v>
      </x:c>
      <x:c r="G412" s="30" t="str">
        <x:v>standard</x:v>
      </x:c>
      <x:c r="H412" s="30" t="str">
        <x:v>year-round</x:v>
      </x:c>
      <x:c r="I4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3">
      <x:c r="A413" s="36" t="str">
        <x:v>mediterranean_europe</x:v>
      </x:c>
      <x:c r="B413" s="30" t="str">
        <x:v>mediterranean-europe-broad-draft-1</x:v>
      </x:c>
      <x:c r="C413" s="30" t="n">
        <x:v>1289480</x:v>
      </x:c>
      <x:c r="D413" s="32" t="str">
        <x:v>Western Orphean Warbler</x:v>
      </x:c>
      <x:c r="E413" s="32" t="str">
        <x:v>Curruca hortensis</x:v>
      </x:c>
      <x:c r="F413" s="30" t="str">
        <x:v>uncommon</x:v>
      </x:c>
      <x:c r="G413" s="30" t="str">
        <x:v>standard</x:v>
      </x:c>
      <x:c r="H413" s="30" t="str">
        <x:v>year-round</x:v>
      </x:c>
      <x:c r="I4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4">
      <x:c r="A414" s="36" t="str">
        <x:v>mediterranean_europe</x:v>
      </x:c>
      <x:c r="B414" s="30" t="str">
        <x:v>mediterranean-europe-broad-draft-1</x:v>
      </x:c>
      <x:c r="C414" s="30" t="n">
        <x:v>144812</x:v>
      </x:c>
      <x:c r="D414" s="32" t="str">
        <x:v>Willow Tit</x:v>
      </x:c>
      <x:c r="E414" s="32" t="str">
        <x:v>Poecile montanus</x:v>
      </x:c>
      <x:c r="F414" s="30" t="str">
        <x:v>uncommon</x:v>
      </x:c>
      <x:c r="G414" s="30" t="str">
        <x:v>standard</x:v>
      </x:c>
      <x:c r="H414" s="30" t="str">
        <x:v>year-round</x:v>
      </x:c>
      <x:c r="I4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5">
      <x:c r="A415" s="36" t="str">
        <x:v>mediterranean_europe</x:v>
      </x:c>
      <x:c r="B415" s="30" t="str">
        <x:v>mediterranean-europe-broad-draft-1</x:v>
      </x:c>
      <x:c r="C415" s="30" t="n">
        <x:v>8029</x:v>
      </x:c>
      <x:c r="D415" s="32" t="str">
        <x:v>Rook</x:v>
      </x:c>
      <x:c r="E415" s="32" t="str">
        <x:v>Corvus frugilegus</x:v>
      </x:c>
      <x:c r="F415" s="30" t="str">
        <x:v>uncommon</x:v>
      </x:c>
      <x:c r="G415" s="30" t="str">
        <x:v>standard</x:v>
      </x:c>
      <x:c r="H415" s="30" t="str">
        <x:v>year-round</x:v>
      </x:c>
      <x:c r="I4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6">
      <x:c r="A416" s="36" t="str">
        <x:v>mediterranean_europe</x:v>
      </x:c>
      <x:c r="B416" s="30" t="str">
        <x:v>mediterranean-europe-broad-draft-1</x:v>
      </x:c>
      <x:c r="C416" s="30" t="n">
        <x:v>1289469</x:v>
      </x:c>
      <x:c r="D416" s="32" t="str">
        <x:v>Spectacled Warbler</x:v>
      </x:c>
      <x:c r="E416" s="32" t="str">
        <x:v>Curruca conspicillata</x:v>
      </x:c>
      <x:c r="F416" s="30" t="str">
        <x:v>uncommon</x:v>
      </x:c>
      <x:c r="G416" s="30" t="str">
        <x:v>standard</x:v>
      </x:c>
      <x:c r="H416" s="30" t="str">
        <x:v>year-round</x:v>
      </x:c>
      <x:c r="I4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7">
      <x:c r="A417" s="36" t="str">
        <x:v>mediterranean_europe</x:v>
      </x:c>
      <x:c r="B417" s="30" t="str">
        <x:v>mediterranean-europe-broad-draft-1</x:v>
      </x:c>
      <x:c r="C417" s="30" t="n">
        <x:v>9196</x:v>
      </x:c>
      <x:c r="D417" s="32" t="str">
        <x:v>Ortolan Bunting</x:v>
      </x:c>
      <x:c r="E417" s="32" t="str">
        <x:v>Emberiza hortulana</x:v>
      </x:c>
      <x:c r="F417" s="30" t="str">
        <x:v>uncommon</x:v>
      </x:c>
      <x:c r="G417" s="30" t="str">
        <x:v>standard</x:v>
      </x:c>
      <x:c r="H417" s="30" t="str">
        <x:v>year-round</x:v>
      </x:c>
      <x:c r="I4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8">
      <x:c r="A418" s="36" t="str">
        <x:v>mediterranean_europe</x:v>
      </x:c>
      <x:c r="B418" s="30" t="str">
        <x:v>mediterranean-europe-broad-draft-1</x:v>
      </x:c>
      <x:c r="C418" s="30" t="n">
        <x:v>4327</x:v>
      </x:c>
      <x:c r="D418" s="32" t="str">
        <x:v>Great White Pelican</x:v>
      </x:c>
      <x:c r="E418" s="32" t="str">
        <x:v>Pelecanus onocrotalus</x:v>
      </x:c>
      <x:c r="F418" s="30" t="str">
        <x:v>uncommon</x:v>
      </x:c>
      <x:c r="G418" s="30" t="str">
        <x:v>standard</x:v>
      </x:c>
      <x:c r="H418" s="30" t="str">
        <x:v>year-round</x:v>
      </x:c>
      <x:c r="I4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19">
      <x:c r="A419" s="36" t="str">
        <x:v>mediterranean_europe</x:v>
      </x:c>
      <x:c r="B419" s="30" t="str">
        <x:v>mediterranean-europe-broad-draft-1</x:v>
      </x:c>
      <x:c r="C419" s="30" t="n">
        <x:v>1289484</x:v>
      </x:c>
      <x:c r="D419" s="32" t="str">
        <x:v>Lesser Whitethroat</x:v>
      </x:c>
      <x:c r="E419" s="32" t="str">
        <x:v>Curruca curruca</x:v>
      </x:c>
      <x:c r="F419" s="30" t="str">
        <x:v>uncommon</x:v>
      </x:c>
      <x:c r="G419" s="30" t="str">
        <x:v>standard</x:v>
      </x:c>
      <x:c r="H419" s="30" t="str">
        <x:v>year-round</x:v>
      </x:c>
      <x:c r="I4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0">
      <x:c r="A420" s="36" t="str">
        <x:v>mediterranean_europe</x:v>
      </x:c>
      <x:c r="B420" s="30" t="str">
        <x:v>mediterranean-europe-broad-draft-1</x:v>
      </x:c>
      <x:c r="C420" s="30" t="n">
        <x:v>204533</x:v>
      </x:c>
      <x:c r="D420" s="32" t="str">
        <x:v>European Herring Gull</x:v>
      </x:c>
      <x:c r="E420" s="32" t="str">
        <x:v>Larus argentatus</x:v>
      </x:c>
      <x:c r="F420" s="30" t="str">
        <x:v>uncommon</x:v>
      </x:c>
      <x:c r="G420" s="30" t="str">
        <x:v>standard</x:v>
      </x:c>
      <x:c r="H420" s="30" t="str">
        <x:v>year-round</x:v>
      </x:c>
      <x:c r="I4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1">
      <x:c r="A421" s="36" t="str">
        <x:v>mediterranean_europe</x:v>
      </x:c>
      <x:c r="B421" s="30" t="str">
        <x:v>mediterranean-europe-broad-draft-1</x:v>
      </x:c>
      <x:c r="C421" s="30" t="n">
        <x:v>871</x:v>
      </x:c>
      <x:c r="D421" s="32" t="str">
        <x:v>Barbary Partridge</x:v>
      </x:c>
      <x:c r="E421" s="32" t="str">
        <x:v>Alectoris barbara</x:v>
      </x:c>
      <x:c r="F421" s="30" t="str">
        <x:v>uncommon</x:v>
      </x:c>
      <x:c r="G421" s="30" t="str">
        <x:v>standard</x:v>
      </x:c>
      <x:c r="H421" s="30" t="str">
        <x:v>year-round</x:v>
      </x:c>
      <x:c r="I4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2">
      <x:c r="A422" s="36" t="str">
        <x:v>mediterranean_europe</x:v>
      </x:c>
      <x:c r="B422" s="30" t="str">
        <x:v>mediterranean-europe-broad-draft-1</x:v>
      </x:c>
      <x:c r="C422" s="30" t="n">
        <x:v>546379</x:v>
      </x:c>
      <x:c r="D422" s="32" t="str">
        <x:v>Mediterranean Short-toed Lark</x:v>
      </x:c>
      <x:c r="E422" s="32" t="str">
        <x:v>Alaudala rufescens</x:v>
      </x:c>
      <x:c r="F422" s="30" t="str">
        <x:v>uncommon</x:v>
      </x:c>
      <x:c r="G422" s="30" t="str">
        <x:v>standard</x:v>
      </x:c>
      <x:c r="H422" s="30" t="str">
        <x:v>year-round</x:v>
      </x:c>
      <x:c r="I4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3">
      <x:c r="A423" s="36" t="str">
        <x:v>mediterranean_europe</x:v>
      </x:c>
      <x:c r="B423" s="30" t="str">
        <x:v>mediterranean-europe-broad-draft-1</x:v>
      </x:c>
      <x:c r="C423" s="30" t="n">
        <x:v>117088</x:v>
      </x:c>
      <x:c r="D423" s="32" t="str">
        <x:v>Black-bellied Sandgrouse</x:v>
      </x:c>
      <x:c r="E423" s="32" t="str">
        <x:v>Pterocles orientalis</x:v>
      </x:c>
      <x:c r="F423" s="30" t="str">
        <x:v>uncommon</x:v>
      </x:c>
      <x:c r="G423" s="30" t="str">
        <x:v>standard</x:v>
      </x:c>
      <x:c r="H423" s="30" t="str">
        <x:v>year-round</x:v>
      </x:c>
      <x:c r="I4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4">
      <x:c r="A424" s="36" t="str">
        <x:v>mediterranean_europe</x:v>
      </x:c>
      <x:c r="B424" s="30" t="str">
        <x:v>mediterranean-europe-broad-draft-1</x:v>
      </x:c>
      <x:c r="C424" s="30" t="n">
        <x:v>863</x:v>
      </x:c>
      <x:c r="D424" s="32" t="str">
        <x:v>Rock Partridge</x:v>
      </x:c>
      <x:c r="E424" s="32" t="str">
        <x:v>Alectoris graeca</x:v>
      </x:c>
      <x:c r="F424" s="30" t="str">
        <x:v>uncommon</x:v>
      </x:c>
      <x:c r="G424" s="30" t="str">
        <x:v>standard</x:v>
      </x:c>
      <x:c r="H424" s="30" t="str">
        <x:v>year-round</x:v>
      </x:c>
      <x:c r="I4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5">
      <x:c r="A425" s="36" t="str">
        <x:v>mediterranean_europe</x:v>
      </x:c>
      <x:c r="B425" s="30" t="str">
        <x:v>mediterranean-europe-broad-draft-1</x:v>
      </x:c>
      <x:c r="C425" s="30" t="n">
        <x:v>7107</x:v>
      </x:c>
      <x:c r="D425" s="32" t="str">
        <x:v>Wood Duck</x:v>
      </x:c>
      <x:c r="E425" s="32" t="str">
        <x:v>Aix sponsa</x:v>
      </x:c>
      <x:c r="F425" s="30" t="str">
        <x:v>uncommon</x:v>
      </x:c>
      <x:c r="G425" s="30" t="str">
        <x:v>standard</x:v>
      </x:c>
      <x:c r="H425" s="30" t="str">
        <x:v>year-round</x:v>
      </x:c>
      <x:c r="I4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6">
      <x:c r="A426" s="36" t="str">
        <x:v>mediterranean_europe</x:v>
      </x:c>
      <x:c r="B426" s="30" t="str">
        <x:v>mediterranean-europe-broad-draft-1</x:v>
      </x:c>
      <x:c r="C426" s="30" t="n">
        <x:v>14811</x:v>
      </x:c>
      <x:c r="D426" s="32" t="str">
        <x:v>Western Rock Nuthatch</x:v>
      </x:c>
      <x:c r="E426" s="32" t="str">
        <x:v>Sitta neumayer</x:v>
      </x:c>
      <x:c r="F426" s="30" t="str">
        <x:v>uncommon</x:v>
      </x:c>
      <x:c r="G426" s="30" t="str">
        <x:v>standard</x:v>
      </x:c>
      <x:c r="H426" s="30" t="str">
        <x:v>year-round</x:v>
      </x:c>
      <x:c r="I4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7">
      <x:c r="A427" s="36" t="str">
        <x:v>mediterranean_europe</x:v>
      </x:c>
      <x:c r="B427" s="30" t="str">
        <x:v>mediterranean-europe-broad-draft-1</x:v>
      </x:c>
      <x:c r="C427" s="30" t="n">
        <x:v>14840</x:v>
      </x:c>
      <x:c r="D427" s="32" t="str">
        <x:v>Wallcreeper</x:v>
      </x:c>
      <x:c r="E427" s="32" t="str">
        <x:v>Tichodroma muraria</x:v>
      </x:c>
      <x:c r="F427" s="30" t="str">
        <x:v>uncommon</x:v>
      </x:c>
      <x:c r="G427" s="30" t="str">
        <x:v>standard</x:v>
      </x:c>
      <x:c r="H427" s="30" t="str">
        <x:v>year-round</x:v>
      </x:c>
      <x:c r="I4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8">
      <x:c r="A428" s="36" t="str">
        <x:v>mediterranean_europe</x:v>
      </x:c>
      <x:c r="B428" s="30" t="str">
        <x:v>mediterranean-europe-broad-draft-1</x:v>
      </x:c>
      <x:c r="C428" s="30" t="n">
        <x:v>20315</x:v>
      </x:c>
      <x:c r="D428" s="32" t="str">
        <x:v>Short-eared Owl</x:v>
      </x:c>
      <x:c r="E428" s="32" t="str">
        <x:v>Asio flammeus</x:v>
      </x:c>
      <x:c r="F428" s="30" t="str">
        <x:v>rare</x:v>
      </x:c>
      <x:c r="G428" s="30" t="str">
        <x:v>standard</x:v>
      </x:c>
      <x:c r="H428" s="30" t="str">
        <x:v>year-round</x:v>
      </x:c>
      <x:c r="I4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29">
      <x:c r="A429" s="36" t="str">
        <x:v>mediterranean_europe</x:v>
      </x:c>
      <x:c r="B429" s="30" t="str">
        <x:v>mediterranean-europe-broad-draft-1</x:v>
      </x:c>
      <x:c r="C429" s="30" t="n">
        <x:v>5033</x:v>
      </x:c>
      <x:c r="D429" s="32" t="str">
        <x:v>Eurasian Bittern</x:v>
      </x:c>
      <x:c r="E429" s="32" t="str">
        <x:v>Botaurus stellaris</x:v>
      </x:c>
      <x:c r="F429" s="30" t="str">
        <x:v>rare</x:v>
      </x:c>
      <x:c r="G429" s="30" t="str">
        <x:v>standard</x:v>
      </x:c>
      <x:c r="H429" s="30" t="str">
        <x:v>year-round</x:v>
      </x:c>
      <x:c r="I4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0">
      <x:c r="A430" s="36" t="str">
        <x:v>mediterranean_europe</x:v>
      </x:c>
      <x:c r="B430" s="30" t="str">
        <x:v>mediterranean-europe-broad-draft-1</x:v>
      </x:c>
      <x:c r="C430" s="30" t="n">
        <x:v>116802</x:v>
      </x:c>
      <x:c r="D430" s="32" t="str">
        <x:v>Marsh Warbler</x:v>
      </x:c>
      <x:c r="E430" s="32" t="str">
        <x:v>Acrocephalus palustris</x:v>
      </x:c>
      <x:c r="F430" s="30" t="str">
        <x:v>rare</x:v>
      </x:c>
      <x:c r="G430" s="30" t="str">
        <x:v>standard</x:v>
      </x:c>
      <x:c r="H430" s="30" t="str">
        <x:v>year-round</x:v>
      </x:c>
      <x:c r="I4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1">
      <x:c r="A431" s="36" t="str">
        <x:v>mediterranean_europe</x:v>
      </x:c>
      <x:c r="B431" s="30" t="str">
        <x:v>mediterranean-europe-broad-draft-1</x:v>
      </x:c>
      <x:c r="C431" s="30" t="n">
        <x:v>3931</x:v>
      </x:c>
      <x:c r="D431" s="32" t="str">
        <x:v>Eurasian Woodcock</x:v>
      </x:c>
      <x:c r="E431" s="32" t="str">
        <x:v>Scolopax rusticola</x:v>
      </x:c>
      <x:c r="F431" s="30" t="str">
        <x:v>rare</x:v>
      </x:c>
      <x:c r="G431" s="30" t="str">
        <x:v>standard</x:v>
      </x:c>
      <x:c r="H431" s="30" t="str">
        <x:v>year-round</x:v>
      </x:c>
      <x:c r="I4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2">
      <x:c r="A432" s="36" t="str">
        <x:v>mediterranean_europe</x:v>
      </x:c>
      <x:c r="B432" s="30" t="str">
        <x:v>mediterranean-europe-broad-draft-1</x:v>
      </x:c>
      <x:c r="C432" s="30" t="n">
        <x:v>827402</x:v>
      </x:c>
      <x:c r="D432" s="32" t="str">
        <x:v>Madeira Firecrest</x:v>
      </x:c>
      <x:c r="E432" s="32" t="str">
        <x:v>Regulus madeirensis</x:v>
      </x:c>
      <x:c r="F432" s="30" t="str">
        <x:v>rare</x:v>
      </x:c>
      <x:c r="G432" s="30" t="str">
        <x:v>standard</x:v>
      </x:c>
      <x:c r="H432" s="30" t="str">
        <x:v>year-round</x:v>
      </x:c>
      <x:c r="I4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3">
      <x:c r="A433" s="36" t="str">
        <x:v>mediterranean_europe</x:v>
      </x:c>
      <x:c r="B433" s="30" t="str">
        <x:v>mediterranean-europe-broad-draft-1</x:v>
      </x:c>
      <x:c r="C433" s="30" t="n">
        <x:v>144850</x:v>
      </x:c>
      <x:c r="D433" s="32" t="str">
        <x:v>African Blue Tit</x:v>
      </x:c>
      <x:c r="E433" s="32" t="str">
        <x:v>Cyanistes teneriffae</x:v>
      </x:c>
      <x:c r="F433" s="30" t="str">
        <x:v>rare</x:v>
      </x:c>
      <x:c r="G433" s="30" t="str">
        <x:v>standard</x:v>
      </x:c>
      <x:c r="H433" s="30" t="str">
        <x:v>year-round</x:v>
      </x:c>
      <x:c r="I4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4">
      <x:c r="A434" s="36" t="str">
        <x:v>mediterranean_europe</x:v>
      </x:c>
      <x:c r="B434" s="30" t="str">
        <x:v>mediterranean-europe-broad-draft-1</x:v>
      </x:c>
      <x:c r="C434" s="30" t="n">
        <x:v>13133</x:v>
      </x:c>
      <x:c r="D434" s="32" t="str">
        <x:v>Collared Flycatcher</x:v>
      </x:c>
      <x:c r="E434" s="32" t="str">
        <x:v>Ficedula albicollis</x:v>
      </x:c>
      <x:c r="F434" s="30" t="str">
        <x:v>rare</x:v>
      </x:c>
      <x:c r="G434" s="30" t="str">
        <x:v>standard</x:v>
      </x:c>
      <x:c r="H434" s="30" t="str">
        <x:v>year-round</x:v>
      </x:c>
      <x:c r="I4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5">
      <x:c r="A435" s="36" t="str">
        <x:v>mediterranean_europe</x:v>
      </x:c>
      <x:c r="B435" s="30" t="str">
        <x:v>mediterranean-europe-broad-draft-1</x:v>
      </x:c>
      <x:c r="C435" s="30" t="n">
        <x:v>5309</x:v>
      </x:c>
      <x:c r="D435" s="32" t="str">
        <x:v>White-tailed Eagle</x:v>
      </x:c>
      <x:c r="E435" s="32" t="str">
        <x:v>Haliaeetus albicilla</x:v>
      </x:c>
      <x:c r="F435" s="30" t="str">
        <x:v>rare</x:v>
      </x:c>
      <x:c r="G435" s="30" t="str">
        <x:v>standard</x:v>
      </x:c>
      <x:c r="H435" s="30" t="str">
        <x:v>year-round</x:v>
      </x:c>
      <x:c r="I4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6">
      <x:c r="A436" s="36" t="str">
        <x:v>mediterranean_europe</x:v>
      </x:c>
      <x:c r="B436" s="30" t="str">
        <x:v>mediterranean-europe-broad-draft-1</x:v>
      </x:c>
      <x:c r="C436" s="30" t="n">
        <x:v>7019</x:v>
      </x:c>
      <x:c r="D436" s="32" t="str">
        <x:v>Greater White-fronted Goose</x:v>
      </x:c>
      <x:c r="E436" s="32" t="str">
        <x:v>Anser albifrons</x:v>
      </x:c>
      <x:c r="F436" s="30" t="str">
        <x:v>rare</x:v>
      </x:c>
      <x:c r="G436" s="30" t="str">
        <x:v>standard</x:v>
      </x:c>
      <x:c r="H436" s="30" t="str">
        <x:v>year-round</x:v>
      </x:c>
      <x:c r="I4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7">
      <x:c r="A437" s="36" t="str">
        <x:v>mediterranean_europe</x:v>
      </x:c>
      <x:c r="B437" s="30" t="str">
        <x:v>mediterranean-europe-broad-draft-1</x:v>
      </x:c>
      <x:c r="C437" s="30" t="n">
        <x:v>949</x:v>
      </x:c>
      <x:c r="D437" s="32" t="str">
        <x:v>Rock Ptarmigan</x:v>
      </x:c>
      <x:c r="E437" s="32" t="str">
        <x:v>Lagopus muta</x:v>
      </x:c>
      <x:c r="F437" s="30" t="str">
        <x:v>rare</x:v>
      </x:c>
      <x:c r="G437" s="30" t="str">
        <x:v>standard</x:v>
      </x:c>
      <x:c r="H437" s="30" t="str">
        <x:v>year-round</x:v>
      </x:c>
      <x:c r="I4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8">
      <x:c r="A438" s="36" t="str">
        <x:v>mediterranean_europe</x:v>
      </x:c>
      <x:c r="B438" s="30" t="str">
        <x:v>mediterranean-europe-broad-draft-1</x:v>
      </x:c>
      <x:c r="C438" s="30" t="n">
        <x:v>4672</x:v>
      </x:c>
      <x:c r="D438" s="32" t="str">
        <x:v>Merlin</x:v>
      </x:c>
      <x:c r="E438" s="32" t="str">
        <x:v>Falco columbarius</x:v>
      </x:c>
      <x:c r="F438" s="30" t="str">
        <x:v>rare</x:v>
      </x:c>
      <x:c r="G438" s="30" t="str">
        <x:v>standard</x:v>
      </x:c>
      <x:c r="H438" s="30" t="str">
        <x:v>year-round</x:v>
      </x:c>
      <x:c r="I4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39">
      <x:c r="A439" s="36" t="str">
        <x:v>mediterranean_europe</x:v>
      </x:c>
      <x:c r="B439" s="30" t="str">
        <x:v>mediterranean-europe-broad-draft-1</x:v>
      </x:c>
      <x:c r="C439" s="30" t="n">
        <x:v>178</x:v>
      </x:c>
      <x:c r="D439" s="32" t="str">
        <x:v>Spotted Crake</x:v>
      </x:c>
      <x:c r="E439" s="32" t="str">
        <x:v>Porzana porzana</x:v>
      </x:c>
      <x:c r="F439" s="30" t="str">
        <x:v>rare</x:v>
      </x:c>
      <x:c r="G439" s="30" t="str">
        <x:v>standard</x:v>
      </x:c>
      <x:c r="H439" s="30" t="str">
        <x:v>year-round</x:v>
      </x:c>
      <x:c r="I4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0">
      <x:c r="A440" s="36" t="str">
        <x:v>mediterranean_europe</x:v>
      </x:c>
      <x:c r="B440" s="30" t="str">
        <x:v>mediterranean-europe-broad-draft-1</x:v>
      </x:c>
      <x:c r="C440" s="30" t="n">
        <x:v>4866</x:v>
      </x:c>
      <x:c r="D440" s="32" t="str">
        <x:v>Spur-winged Lapwing</x:v>
      </x:c>
      <x:c r="E440" s="32" t="str">
        <x:v>Vanellus spinosus</x:v>
      </x:c>
      <x:c r="F440" s="30" t="str">
        <x:v>rare</x:v>
      </x:c>
      <x:c r="G440" s="30" t="str">
        <x:v>standard</x:v>
      </x:c>
      <x:c r="H440" s="30" t="str">
        <x:v>year-round</x:v>
      </x:c>
      <x:c r="I4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1">
      <x:c r="A441" s="36" t="str">
        <x:v>mediterranean_europe</x:v>
      </x:c>
      <x:c r="B441" s="30" t="str">
        <x:v>mediterranean-europe-broad-draft-1</x:v>
      </x:c>
      <x:c r="C441" s="30" t="n">
        <x:v>15560</x:v>
      </x:c>
      <x:c r="D441" s="32" t="str">
        <x:v>Red-billed Leiothrix</x:v>
      </x:c>
      <x:c r="E441" s="32" t="str">
        <x:v>Leiothrix lutea</x:v>
      </x:c>
      <x:c r="F441" s="30" t="str">
        <x:v>rare</x:v>
      </x:c>
      <x:c r="G441" s="30" t="str">
        <x:v>standard</x:v>
      </x:c>
      <x:c r="H441" s="30" t="str">
        <x:v>year-round</x:v>
      </x:c>
      <x:c r="I4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2">
      <x:c r="A442" s="36" t="str">
        <x:v>mediterranean_europe</x:v>
      </x:c>
      <x:c r="B442" s="30" t="str">
        <x:v>mediterranean-europe-broad-draft-1</x:v>
      </x:c>
      <x:c r="C442" s="30" t="n">
        <x:v>3837</x:v>
      </x:c>
      <x:c r="D442" s="32" t="str">
        <x:v>Temminck's Stint</x:v>
      </x:c>
      <x:c r="E442" s="32" t="str">
        <x:v>Calidris temminckii</x:v>
      </x:c>
      <x:c r="F442" s="30" t="str">
        <x:v>rare</x:v>
      </x:c>
      <x:c r="G442" s="30" t="str">
        <x:v>standard</x:v>
      </x:c>
      <x:c r="H442" s="30" t="str">
        <x:v>year-round</x:v>
      </x:c>
      <x:c r="I4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3">
      <x:c r="A443" s="36" t="str">
        <x:v>mediterranean_europe</x:v>
      </x:c>
      <x:c r="B443" s="30" t="str">
        <x:v>mediterranean-europe-broad-draft-1</x:v>
      </x:c>
      <x:c r="C443" s="30" t="n">
        <x:v>9237</x:v>
      </x:c>
      <x:c r="D443" s="32" t="str">
        <x:v>Citril Finch</x:v>
      </x:c>
      <x:c r="E443" s="32" t="str">
        <x:v>Carduelis citrinella</x:v>
      </x:c>
      <x:c r="F443" s="30" t="str">
        <x:v>rare</x:v>
      </x:c>
      <x:c r="G443" s="30" t="str">
        <x:v>standard</x:v>
      </x:c>
      <x:c r="H443" s="30" t="str">
        <x:v>year-round</x:v>
      </x:c>
      <x:c r="I4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4">
      <x:c r="A444" s="36" t="str">
        <x:v>mediterranean_europe</x:v>
      </x:c>
      <x:c r="B444" s="30" t="str">
        <x:v>mediterranean-europe-broad-draft-1</x:v>
      </x:c>
      <x:c r="C444" s="30" t="n">
        <x:v>73315</x:v>
      </x:c>
      <x:c r="D444" s="32" t="str">
        <x:v>Balearic Shearwater</x:v>
      </x:c>
      <x:c r="E444" s="32" t="str">
        <x:v>Puffinus mauretanicus</x:v>
      </x:c>
      <x:c r="F444" s="30" t="str">
        <x:v>rare</x:v>
      </x:c>
      <x:c r="G444" s="30" t="str">
        <x:v>standard</x:v>
      </x:c>
      <x:c r="H444" s="30" t="str">
        <x:v>year-round</x:v>
      </x:c>
      <x:c r="I4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5">
      <x:c r="A445" s="36" t="str">
        <x:v>mediterranean_europe</x:v>
      </x:c>
      <x:c r="B445" s="30" t="str">
        <x:v>mediterranean-europe-broad-draft-1</x:v>
      </x:c>
      <x:c r="C445" s="30" t="n">
        <x:v>4626</x:v>
      </x:c>
      <x:c r="D445" s="32" t="str">
        <x:v>Common Loon</x:v>
      </x:c>
      <x:c r="E445" s="32" t="str">
        <x:v>Gavia immer</x:v>
      </x:c>
      <x:c r="F445" s="30" t="str">
        <x:v>rare</x:v>
      </x:c>
      <x:c r="G445" s="30" t="str">
        <x:v>standard</x:v>
      </x:c>
      <x:c r="H445" s="30" t="str">
        <x:v>year-round</x:v>
      </x:c>
      <x:c r="I4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6">
      <x:c r="A446" s="36" t="str">
        <x:v>mediterranean_europe</x:v>
      </x:c>
      <x:c r="B446" s="30" t="str">
        <x:v>mediterranean-europe-broad-draft-1</x:v>
      </x:c>
      <x:c r="C446" s="30" t="n">
        <x:v>4623</x:v>
      </x:c>
      <x:c r="D446" s="32" t="str">
        <x:v>Arctic Loon</x:v>
      </x:c>
      <x:c r="E446" s="32" t="str">
        <x:v>Gavia arctica</x:v>
      </x:c>
      <x:c r="F446" s="30" t="str">
        <x:v>rare</x:v>
      </x:c>
      <x:c r="G446" s="30" t="str">
        <x:v>standard</x:v>
      </x:c>
      <x:c r="H446" s="30" t="str">
        <x:v>year-round</x:v>
      </x:c>
      <x:c r="I4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7">
      <x:c r="A447" s="36" t="str">
        <x:v>mediterranean_europe</x:v>
      </x:c>
      <x:c r="B447" s="30" t="str">
        <x:v>mediterranean-europe-broad-draft-1</x:v>
      </x:c>
      <x:c r="C447" s="30" t="n">
        <x:v>367571</x:v>
      </x:c>
      <x:c r="D447" s="32" t="str">
        <x:v>Mitred Parakeet</x:v>
      </x:c>
      <x:c r="E447" s="32" t="str">
        <x:v>Psittacara mitratus</x:v>
      </x:c>
      <x:c r="F447" s="30" t="str">
        <x:v>rare</x:v>
      </x:c>
      <x:c r="G447" s="30" t="str">
        <x:v>standard</x:v>
      </x:c>
      <x:c r="H447" s="30" t="str">
        <x:v>year-round</x:v>
      </x:c>
      <x:c r="I4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8">
      <x:c r="A448" s="36" t="str">
        <x:v>mediterranean_europe</x:v>
      </x:c>
      <x:c r="B448" s="30" t="str">
        <x:v>mediterranean-europe-broad-draft-1</x:v>
      </x:c>
      <x:c r="C448" s="30" t="n">
        <x:v>7089</x:v>
      </x:c>
      <x:c r="D448" s="32" t="str">
        <x:v>Canada Goose</x:v>
      </x:c>
      <x:c r="E448" s="32" t="str">
        <x:v>Branta canadensis</x:v>
      </x:c>
      <x:c r="F448" s="30" t="str">
        <x:v>rare</x:v>
      </x:c>
      <x:c r="G448" s="30" t="str">
        <x:v>standard</x:v>
      </x:c>
      <x:c r="H448" s="30" t="str">
        <x:v>year-round</x:v>
      </x:c>
      <x:c r="I4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49">
      <x:c r="A449" s="36" t="str">
        <x:v>mediterranean_europe</x:v>
      </x:c>
      <x:c r="B449" s="30" t="str">
        <x:v>mediterranean-europe-broad-draft-1</x:v>
      </x:c>
      <x:c r="C449" s="30" t="n">
        <x:v>12054</x:v>
      </x:c>
      <x:c r="D449" s="32" t="str">
        <x:v>Lesser Grey Shrike</x:v>
      </x:c>
      <x:c r="E449" s="32" t="str">
        <x:v>Lanius minor</x:v>
      </x:c>
      <x:c r="F449" s="30" t="str">
        <x:v>rare</x:v>
      </x:c>
      <x:c r="G449" s="30" t="str">
        <x:v>standard</x:v>
      </x:c>
      <x:c r="H449" s="30" t="str">
        <x:v>year-round</x:v>
      </x:c>
      <x:c r="I4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0">
      <x:c r="A450" s="36" t="str">
        <x:v>mediterranean_europe</x:v>
      </x:c>
      <x:c r="B450" s="30" t="str">
        <x:v>mediterranean-europe-broad-draft-1</x:v>
      </x:c>
      <x:c r="C450" s="30" t="n">
        <x:v>9203</x:v>
      </x:c>
      <x:c r="D450" s="32" t="str">
        <x:v>Black-headed Bunting</x:v>
      </x:c>
      <x:c r="E450" s="32" t="str">
        <x:v>Emberiza melanocephala</x:v>
      </x:c>
      <x:c r="F450" s="30" t="str">
        <x:v>rare</x:v>
      </x:c>
      <x:c r="G450" s="30" t="str">
        <x:v>standard</x:v>
      </x:c>
      <x:c r="H450" s="30" t="str">
        <x:v>year-round</x:v>
      </x:c>
      <x:c r="I4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1">
      <x:c r="A451" s="36" t="str">
        <x:v>mediterranean_europe</x:v>
      </x:c>
      <x:c r="B451" s="30" t="str">
        <x:v>mediterranean-europe-broad-draft-1</x:v>
      </x:c>
      <x:c r="C451" s="30" t="n">
        <x:v>144221</x:v>
      </x:c>
      <x:c r="D451" s="32" t="str">
        <x:v>Common Scoter</x:v>
      </x:c>
      <x:c r="E451" s="32" t="str">
        <x:v>Melanitta nigra</x:v>
      </x:c>
      <x:c r="F451" s="30" t="str">
        <x:v>rare</x:v>
      </x:c>
      <x:c r="G451" s="30" t="str">
        <x:v>standard</x:v>
      </x:c>
      <x:c r="H451" s="30" t="str">
        <x:v>year-round</x:v>
      </x:c>
      <x:c r="I4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2">
      <x:c r="A452" s="36" t="str">
        <x:v>mediterranean_europe</x:v>
      </x:c>
      <x:c r="B452" s="30" t="str">
        <x:v>mediterranean-europe-broad-draft-1</x:v>
      </x:c>
      <x:c r="C452" s="30" t="n">
        <x:v>6612</x:v>
      </x:c>
      <x:c r="D452" s="32" t="str">
        <x:v>Little Swift</x:v>
      </x:c>
      <x:c r="E452" s="32" t="str">
        <x:v>Apus affinis</x:v>
      </x:c>
      <x:c r="F452" s="30" t="str">
        <x:v>rare</x:v>
      </x:c>
      <x:c r="G452" s="30" t="str">
        <x:v>standard</x:v>
      </x:c>
      <x:c r="H452" s="30" t="str">
        <x:v>year-round</x:v>
      </x:c>
      <x:c r="I4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3">
      <x:c r="A453" s="36" t="str">
        <x:v>mediterranean_europe</x:v>
      </x:c>
      <x:c r="B453" s="30" t="str">
        <x:v>mediterranean-europe-broad-draft-1</x:v>
      </x:c>
      <x:c r="C453" s="30" t="n">
        <x:v>5192</x:v>
      </x:c>
      <x:c r="D453" s="32" t="str">
        <x:v>Long-legged Buzzard</x:v>
      </x:c>
      <x:c r="E453" s="32" t="str">
        <x:v>Buteo rufinus</x:v>
      </x:c>
      <x:c r="F453" s="30" t="str">
        <x:v>rare</x:v>
      </x:c>
      <x:c r="G453" s="30" t="str">
        <x:v>standard</x:v>
      </x:c>
      <x:c r="H453" s="30" t="str">
        <x:v>year-round</x:v>
      </x:c>
      <x:c r="I4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4">
      <x:c r="A454" s="36" t="str">
        <x:v>mediterranean_europe</x:v>
      </x:c>
      <x:c r="B454" s="30" t="str">
        <x:v>mediterranean-europe-broad-draft-1</x:v>
      </x:c>
      <x:c r="C454" s="30" t="n">
        <x:v>72572</x:v>
      </x:c>
      <x:c r="D454" s="32" t="str">
        <x:v>Trumpeter Finch</x:v>
      </x:c>
      <x:c r="E454" s="32" t="str">
        <x:v>Bucanetes githagineus</x:v>
      </x:c>
      <x:c r="F454" s="30" t="str">
        <x:v>rare</x:v>
      </x:c>
      <x:c r="G454" s="30" t="str">
        <x:v>standard</x:v>
      </x:c>
      <x:c r="H454" s="30" t="str">
        <x:v>year-round</x:v>
      </x:c>
      <x:c r="I4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5">
      <x:c r="A455" s="36" t="str">
        <x:v>mediterranean_europe</x:v>
      </x:c>
      <x:c r="B455" s="30" t="str">
        <x:v>mediterranean-europe-broad-draft-1</x:v>
      </x:c>
      <x:c r="C455" s="30" t="n">
        <x:v>831</x:v>
      </x:c>
      <x:c r="D455" s="32" t="str">
        <x:v>Gray Partridge</x:v>
      </x:c>
      <x:c r="E455" s="32" t="str">
        <x:v>Perdix perdix</x:v>
      </x:c>
      <x:c r="F455" s="30" t="str">
        <x:v>rare</x:v>
      </x:c>
      <x:c r="G455" s="30" t="str">
        <x:v>standard</x:v>
      </x:c>
      <x:c r="H455" s="30" t="str">
        <x:v>year-round</x:v>
      </x:c>
      <x:c r="I4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6">
      <x:c r="A456" s="36" t="str">
        <x:v>mediterranean_europe</x:v>
      </x:c>
      <x:c r="B456" s="30" t="str">
        <x:v>mediterranean-europe-broad-draft-1</x:v>
      </x:c>
      <x:c r="C456" s="30" t="n">
        <x:v>792985</x:v>
      </x:c>
      <x:c r="D456" s="32" t="str">
        <x:v>Middle Spotted Woodpecker</x:v>
      </x:c>
      <x:c r="E456" s="32" t="str">
        <x:v>Dendrocoptes medius</x:v>
      </x:c>
      <x:c r="F456" s="30" t="str">
        <x:v>rare</x:v>
      </x:c>
      <x:c r="G456" s="30" t="str">
        <x:v>standard</x:v>
      </x:c>
      <x:c r="H456" s="30" t="str">
        <x:v>year-round</x:v>
      </x:c>
      <x:c r="I4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7">
      <x:c r="A457" s="36" t="str">
        <x:v>mediterranean_europe</x:v>
      </x:c>
      <x:c r="B457" s="30" t="str">
        <x:v>mediterranean-europe-broad-draft-1</x:v>
      </x:c>
      <x:c r="C457" s="30" t="n">
        <x:v>4788</x:v>
      </x:c>
      <x:c r="D457" s="32" t="str">
        <x:v>Eurasian Dotterel</x:v>
      </x:c>
      <x:c r="E457" s="32" t="str">
        <x:v>Eudromias morinellus</x:v>
      </x:c>
      <x:c r="F457" s="30" t="str">
        <x:v>rare</x:v>
      </x:c>
      <x:c r="G457" s="30" t="str">
        <x:v>standard</x:v>
      </x:c>
      <x:c r="H457" s="30" t="str">
        <x:v>year-round</x:v>
      </x:c>
      <x:c r="I4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8">
      <x:c r="A458" s="36" t="str">
        <x:v>mediterranean_europe</x:v>
      </x:c>
      <x:c r="B458" s="30" t="str">
        <x:v>mediterranean-europe-broad-draft-1</x:v>
      </x:c>
      <x:c r="C458" s="30" t="n">
        <x:v>4109</x:v>
      </x:c>
      <x:c r="D458" s="32" t="str">
        <x:v>Yelkouan Shearwater</x:v>
      </x:c>
      <x:c r="E458" s="32" t="str">
        <x:v>Puffinus yelkouan</x:v>
      </x:c>
      <x:c r="F458" s="30" t="str">
        <x:v>rare</x:v>
      </x:c>
      <x:c r="G458" s="30" t="str">
        <x:v>standard</x:v>
      </x:c>
      <x:c r="H458" s="30" t="str">
        <x:v>year-round</x:v>
      </x:c>
      <x:c r="I4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59">
      <x:c r="A459" s="36" t="str">
        <x:v>mediterranean_europe</x:v>
      </x:c>
      <x:c r="B459" s="30" t="str">
        <x:v>mediterranean-europe-broad-draft-1</x:v>
      </x:c>
      <x:c r="C459" s="30" t="n">
        <x:v>7117</x:v>
      </x:c>
      <x:c r="D459" s="32" t="str">
        <x:v>Upland Goose</x:v>
      </x:c>
      <x:c r="E459" s="32" t="str">
        <x:v>Chloephaga picta</x:v>
      </x:c>
      <x:c r="F459" s="30" t="str">
        <x:v>rare</x:v>
      </x:c>
      <x:c r="G459" s="30" t="str">
        <x:v>standard</x:v>
      </x:c>
      <x:c r="H459" s="30" t="str">
        <x:v>year-round</x:v>
      </x:c>
      <x:c r="I4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0">
      <x:c r="A460" s="36" t="str">
        <x:v>mediterranean_europe</x:v>
      </x:c>
      <x:c r="B460" s="30" t="str">
        <x:v>mediterranean-europe-broad-draft-1</x:v>
      </x:c>
      <x:c r="C460" s="30" t="n">
        <x:v>3856</x:v>
      </x:c>
      <x:c r="D460" s="32" t="str">
        <x:v>Purple Sandpiper</x:v>
      </x:c>
      <x:c r="E460" s="32" t="str">
        <x:v>Calidris maritima</x:v>
      </x:c>
      <x:c r="F460" s="30" t="str">
        <x:v>rare</x:v>
      </x:c>
      <x:c r="G460" s="30" t="str">
        <x:v>standard</x:v>
      </x:c>
      <x:c r="H460" s="30" t="str">
        <x:v>year-round</x:v>
      </x:c>
      <x:c r="I4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1">
      <x:c r="A461" s="36" t="str">
        <x:v>mediterranean_europe</x:v>
      </x:c>
      <x:c r="B461" s="30" t="str">
        <x:v>mediterranean-europe-broad-draft-1</x:v>
      </x:c>
      <x:c r="C461" s="30" t="n">
        <x:v>508919</x:v>
      </x:c>
      <x:c r="D461" s="32" t="str">
        <x:v>Little Crake</x:v>
      </x:c>
      <x:c r="E461" s="32" t="str">
        <x:v>Zapornia parva</x:v>
      </x:c>
      <x:c r="F461" s="30" t="str">
        <x:v>rare</x:v>
      </x:c>
      <x:c r="G461" s="30" t="str">
        <x:v>standard</x:v>
      </x:c>
      <x:c r="H461" s="30" t="str">
        <x:v>year-round</x:v>
      </x:c>
      <x:c r="I4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2">
      <x:c r="A462" s="36" t="str">
        <x:v>mediterranean_europe</x:v>
      </x:c>
      <x:c r="B462" s="30" t="str">
        <x:v>mediterranean-europe-broad-draft-1</x:v>
      </x:c>
      <x:c r="C462" s="30" t="n">
        <x:v>201180</x:v>
      </x:c>
      <x:c r="D462" s="32" t="str">
        <x:v>Eastern Olivaceous Warbler</x:v>
      </x:c>
      <x:c r="E462" s="32" t="str">
        <x:v>Iduna pallida</x:v>
      </x:c>
      <x:c r="F462" s="30" t="str">
        <x:v>rare</x:v>
      </x:c>
      <x:c r="G462" s="30" t="str">
        <x:v>standard</x:v>
      </x:c>
      <x:c r="H462" s="30" t="str">
        <x:v>year-round</x:v>
      </x:c>
      <x:c r="I4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3">
      <x:c r="A463" s="36" t="str">
        <x:v>mediterranean_europe</x:v>
      </x:c>
      <x:c r="B463" s="30" t="str">
        <x:v>mediterranean-europe-broad-draft-1</x:v>
      </x:c>
      <x:c r="C463" s="30" t="n">
        <x:v>7101</x:v>
      </x:c>
      <x:c r="D463" s="32" t="str">
        <x:v>Barnacle Goose</x:v>
      </x:c>
      <x:c r="E463" s="32" t="str">
        <x:v>Branta leucopsis</x:v>
      </x:c>
      <x:c r="F463" s="30" t="str">
        <x:v>rare</x:v>
      </x:c>
      <x:c r="G463" s="30" t="str">
        <x:v>standard</x:v>
      </x:c>
      <x:c r="H463" s="30" t="str">
        <x:v>year-round</x:v>
      </x:c>
      <x:c r="I4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4">
      <x:c r="A464" s="36" t="str">
        <x:v>mediterranean_europe</x:v>
      </x:c>
      <x:c r="B464" s="30" t="str">
        <x:v>mediterranean-europe-broad-draft-1</x:v>
      </x:c>
      <x:c r="C464" s="30" t="n">
        <x:v>7024</x:v>
      </x:c>
      <x:c r="D464" s="32" t="str">
        <x:v>Common Eider</x:v>
      </x:c>
      <x:c r="E464" s="32" t="str">
        <x:v>Somateria mollissima</x:v>
      </x:c>
      <x:c r="F464" s="30" t="str">
        <x:v>rare</x:v>
      </x:c>
      <x:c r="G464" s="30" t="str">
        <x:v>standard</x:v>
      </x:c>
      <x:c r="H464" s="30" t="str">
        <x:v>year-round</x:v>
      </x:c>
      <x:c r="I4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5">
      <x:c r="A465" s="36" t="str">
        <x:v>mediterranean_europe</x:v>
      </x:c>
      <x:c r="B465" s="30" t="str">
        <x:v>mediterranean-europe-broad-draft-1</x:v>
      </x:c>
      <x:c r="C465" s="30" t="n">
        <x:v>12913</x:v>
      </x:c>
      <x:c r="D465" s="32" t="str">
        <x:v>Fuerteventura Stonechat</x:v>
      </x:c>
      <x:c r="E465" s="32" t="str">
        <x:v>Saxicola dacotiae</x:v>
      </x:c>
      <x:c r="F465" s="30" t="str">
        <x:v>rare</x:v>
      </x:c>
      <x:c r="G465" s="30" t="str">
        <x:v>standard</x:v>
      </x:c>
      <x:c r="H465" s="30" t="str">
        <x:v>year-round</x:v>
      </x:c>
      <x:c r="I4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6">
      <x:c r="A466" s="36" t="str">
        <x:v>mediterranean_europe</x:v>
      </x:c>
      <x:c r="B466" s="30" t="str">
        <x:v>mediterranean-europe-broad-draft-1</x:v>
      </x:c>
      <x:c r="C466" s="30" t="n">
        <x:v>4494</x:v>
      </x:c>
      <x:c r="D466" s="32" t="str">
        <x:v>Black-legged Kittiwake</x:v>
      </x:c>
      <x:c r="E466" s="32" t="str">
        <x:v>Rissa tridactyla</x:v>
      </x:c>
      <x:c r="F466" s="30" t="str">
        <x:v>rare</x:v>
      </x:c>
      <x:c r="G466" s="30" t="str">
        <x:v>standard</x:v>
      </x:c>
      <x:c r="H466" s="30" t="str">
        <x:v>year-round</x:v>
      </x:c>
      <x:c r="I4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7">
      <x:c r="A467" s="36" t="str">
        <x:v>mediterranean_europe</x:v>
      </x:c>
      <x:c r="B467" s="30" t="str">
        <x:v>mediterranean-europe-broad-draft-1</x:v>
      </x:c>
      <x:c r="C467" s="30" t="n">
        <x:v>3881</x:v>
      </x:c>
      <x:c r="D467" s="32" t="str">
        <x:v>Marsh Sandpiper</x:v>
      </x:c>
      <x:c r="E467" s="32" t="str">
        <x:v>Tringa stagnatilis</x:v>
      </x:c>
      <x:c r="F467" s="30" t="str">
        <x:v>rare</x:v>
      </x:c>
      <x:c r="G467" s="30" t="str">
        <x:v>standard</x:v>
      </x:c>
      <x:c r="H467" s="30" t="str">
        <x:v>year-round</x:v>
      </x:c>
      <x:c r="I4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8">
      <x:c r="A468" s="36" t="str">
        <x:v>mediterranean_europe</x:v>
      </x:c>
      <x:c r="B468" s="30" t="str">
        <x:v>mediterranean-europe-broad-draft-1</x:v>
      </x:c>
      <x:c r="C468" s="30" t="n">
        <x:v>7044</x:v>
      </x:c>
      <x:c r="D468" s="32" t="str">
        <x:v>Ring-necked Duck</x:v>
      </x:c>
      <x:c r="E468" s="32" t="str">
        <x:v>Aythya collaris</x:v>
      </x:c>
      <x:c r="F468" s="30" t="str">
        <x:v>rare</x:v>
      </x:c>
      <x:c r="G468" s="30" t="str">
        <x:v>standard</x:v>
      </x:c>
      <x:c r="H468" s="30" t="str">
        <x:v>year-round</x:v>
      </x:c>
      <x:c r="I4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69">
      <x:c r="A469" s="36" t="str">
        <x:v>mediterranean_europe</x:v>
      </x:c>
      <x:c r="B469" s="30" t="str">
        <x:v>mediterranean-europe-broad-draft-1</x:v>
      </x:c>
      <x:c r="C469" s="30" t="n">
        <x:v>7047</x:v>
      </x:c>
      <x:c r="D469" s="32" t="str">
        <x:v>Greater Scaup</x:v>
      </x:c>
      <x:c r="E469" s="32" t="str">
        <x:v>Aythya marila</x:v>
      </x:c>
      <x:c r="F469" s="30" t="str">
        <x:v>rare</x:v>
      </x:c>
      <x:c r="G469" s="30" t="str">
        <x:v>standard</x:v>
      </x:c>
      <x:c r="H469" s="30" t="str">
        <x:v>year-round</x:v>
      </x:c>
      <x:c r="I4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0">
      <x:c r="A470" s="36" t="str">
        <x:v>mediterranean_europe</x:v>
      </x:c>
      <x:c r="B470" s="30" t="str">
        <x:v>mediterranean-europe-broad-draft-1</x:v>
      </x:c>
      <x:c r="C470" s="30" t="n">
        <x:v>12834</x:v>
      </x:c>
      <x:c r="D470" s="32" t="str">
        <x:v>Cyprus Wheatear</x:v>
      </x:c>
      <x:c r="E470" s="32" t="str">
        <x:v>Oenanthe cypriaca</x:v>
      </x:c>
      <x:c r="F470" s="30" t="str">
        <x:v>rare</x:v>
      </x:c>
      <x:c r="G470" s="30" t="str">
        <x:v>standard</x:v>
      </x:c>
      <x:c r="H470" s="30" t="str">
        <x:v>year-round</x:v>
      </x:c>
      <x:c r="I4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1">
      <x:c r="A471" s="36" t="str">
        <x:v>mediterranean_europe</x:v>
      </x:c>
      <x:c r="B471" s="30" t="str">
        <x:v>mediterranean-europe-broad-draft-1</x:v>
      </x:c>
      <x:c r="C471" s="30" t="n">
        <x:v>4627</x:v>
      </x:c>
      <x:c r="D471" s="32" t="str">
        <x:v>Red-throated Loon</x:v>
      </x:c>
      <x:c r="E471" s="32" t="str">
        <x:v>Gavia stellata</x:v>
      </x:c>
      <x:c r="F471" s="30" t="str">
        <x:v>rare</x:v>
      </x:c>
      <x:c r="G471" s="30" t="str">
        <x:v>standard</x:v>
      </x:c>
      <x:c r="H471" s="30" t="str">
        <x:v>year-round</x:v>
      </x:c>
      <x:c r="I4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2">
      <x:c r="A472" s="36" t="str">
        <x:v>mediterranean_europe</x:v>
      </x:c>
      <x:c r="B472" s="30" t="str">
        <x:v>mediterranean-europe-broad-draft-1</x:v>
      </x:c>
      <x:c r="C472" s="30" t="n">
        <x:v>13721</x:v>
      </x:c>
      <x:c r="D472" s="32" t="str">
        <x:v>Red-throated Pipit</x:v>
      </x:c>
      <x:c r="E472" s="32" t="str">
        <x:v>Anthus cervinus</x:v>
      </x:c>
      <x:c r="F472" s="30" t="str">
        <x:v>very_rare</x:v>
      </x:c>
      <x:c r="G472" s="30" t="str">
        <x:v>standard</x:v>
      </x:c>
      <x:c r="H472" s="30" t="str">
        <x:v>year-round</x:v>
      </x:c>
      <x:c r="I4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3">
      <x:c r="A473" s="36" t="str">
        <x:v>mediterranean_europe</x:v>
      </x:c>
      <x:c r="B473" s="30" t="str">
        <x:v>mediterranean-europe-broad-draft-1</x:v>
      </x:c>
      <x:c r="C473" s="30" t="n">
        <x:v>6990</x:v>
      </x:c>
      <x:c r="D473" s="32" t="str">
        <x:v>Common Goldeneye</x:v>
      </x:c>
      <x:c r="E473" s="32" t="str">
        <x:v>Bucephala clangula</x:v>
      </x:c>
      <x:c r="F473" s="30" t="str">
        <x:v>very_rare</x:v>
      </x:c>
      <x:c r="G473" s="30" t="str">
        <x:v>standard</x:v>
      </x:c>
      <x:c r="H473" s="30" t="str">
        <x:v>year-round</x:v>
      </x:c>
      <x:c r="I4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4">
      <x:c r="A474" s="36" t="str">
        <x:v>mediterranean_europe</x:v>
      </x:c>
      <x:c r="B474" s="30" t="str">
        <x:v>mediterranean-europe-broad-draft-1</x:v>
      </x:c>
      <x:c r="C474" s="30" t="n">
        <x:v>3055</x:v>
      </x:c>
      <x:c r="D474" s="32" t="str">
        <x:v>Bolle's Pigeon</x:v>
      </x:c>
      <x:c r="E474" s="32" t="str">
        <x:v>Columba bollii</x:v>
      </x:c>
      <x:c r="F474" s="30" t="str">
        <x:v>very_rare</x:v>
      </x:c>
      <x:c r="G474" s="30" t="str">
        <x:v>standard</x:v>
      </x:c>
      <x:c r="H474" s="30" t="str">
        <x:v>year-round</x:v>
      </x:c>
      <x:c r="I4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5">
      <x:c r="A475" s="36" t="str">
        <x:v>mediterranean_europe</x:v>
      </x:c>
      <x:c r="B475" s="30" t="str">
        <x:v>mediterranean-europe-broad-draft-1</x:v>
      </x:c>
      <x:c r="C475" s="30" t="n">
        <x:v>17867</x:v>
      </x:c>
      <x:c r="D475" s="32" t="str">
        <x:v>Syrian Woodpecker</x:v>
      </x:c>
      <x:c r="E475" s="32" t="str">
        <x:v>Dendrocopos syriacus</x:v>
      </x:c>
      <x:c r="F475" s="30" t="str">
        <x:v>very_rare</x:v>
      </x:c>
      <x:c r="G475" s="30" t="str">
        <x:v>standard</x:v>
      </x:c>
      <x:c r="H475" s="30" t="str">
        <x:v>year-round</x:v>
      </x:c>
      <x:c r="I4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6">
      <x:c r="A476" s="36" t="str">
        <x:v>mediterranean_europe</x:v>
      </x:c>
      <x:c r="B476" s="30" t="str">
        <x:v>mediterranean-europe-broad-draft-1</x:v>
      </x:c>
      <x:c r="C476" s="30" t="n">
        <x:v>116799</x:v>
      </x:c>
      <x:c r="D476" s="32" t="str">
        <x:v>Moustached Warbler</x:v>
      </x:c>
      <x:c r="E476" s="32" t="str">
        <x:v>Acrocephalus melanopogon</x:v>
      </x:c>
      <x:c r="F476" s="30" t="str">
        <x:v>very_rare</x:v>
      </x:c>
      <x:c r="G476" s="30" t="str">
        <x:v>standard</x:v>
      </x:c>
      <x:c r="H476" s="30" t="str">
        <x:v>year-round</x:v>
      </x:c>
      <x:c r="I4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7">
      <x:c r="A477" s="36" t="str">
        <x:v>mediterranean_europe</x:v>
      </x:c>
      <x:c r="B477" s="30" t="str">
        <x:v>mediterranean-europe-broad-draft-1</x:v>
      </x:c>
      <x:c r="C477" s="30" t="n">
        <x:v>7008</x:v>
      </x:c>
      <x:c r="D477" s="32" t="str">
        <x:v>Bar-headed Goose</x:v>
      </x:c>
      <x:c r="E477" s="32" t="str">
        <x:v>Anser indicus</x:v>
      </x:c>
      <x:c r="F477" s="30" t="str">
        <x:v>very_rare</x:v>
      </x:c>
      <x:c r="G477" s="30" t="str">
        <x:v>standard</x:v>
      </x:c>
      <x:c r="H477" s="30" t="str">
        <x:v>year-round</x:v>
      </x:c>
      <x:c r="I4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8">
      <x:c r="A478" s="36" t="str">
        <x:v>mediterranean_europe</x:v>
      </x:c>
      <x:c r="B478" s="30" t="str">
        <x:v>mediterranean-europe-broad-draft-1</x:v>
      </x:c>
      <x:c r="C478" s="30" t="n">
        <x:v>201035</x:v>
      </x:c>
      <x:c r="D478" s="32" t="str">
        <x:v>Greater Spotted Eagle</x:v>
      </x:c>
      <x:c r="E478" s="32" t="str">
        <x:v>Clanga clanga</x:v>
      </x:c>
      <x:c r="F478" s="30" t="str">
        <x:v>very_rare</x:v>
      </x:c>
      <x:c r="G478" s="30" t="str">
        <x:v>standard</x:v>
      </x:c>
      <x:c r="H478" s="30" t="str">
        <x:v>year-round</x:v>
      </x:c>
      <x:c r="I4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79">
      <x:c r="A479" s="36" t="str">
        <x:v>mediterranean_europe</x:v>
      </x:c>
      <x:c r="B479" s="30" t="str">
        <x:v>mediterranean-europe-broad-draft-1</x:v>
      </x:c>
      <x:c r="C479" s="30" t="n">
        <x:v>3054</x:v>
      </x:c>
      <x:c r="D479" s="32" t="str">
        <x:v>Trocaz Pigeon</x:v>
      </x:c>
      <x:c r="E479" s="32" t="str">
        <x:v>Columba trocaz</x:v>
      </x:c>
      <x:c r="F479" s="30" t="str">
        <x:v>very_rare</x:v>
      </x:c>
      <x:c r="G479" s="30" t="str">
        <x:v>standard</x:v>
      </x:c>
      <x:c r="H479" s="30" t="str">
        <x:v>year-round</x:v>
      </x:c>
      <x:c r="I4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0">
      <x:c r="A480" s="36" t="str">
        <x:v>mediterranean_europe</x:v>
      </x:c>
      <x:c r="B480" s="30" t="str">
        <x:v>mediterranean-europe-broad-draft-1</x:v>
      </x:c>
      <x:c r="C480" s="30" t="n">
        <x:v>12023</x:v>
      </x:c>
      <x:c r="D480" s="32" t="str">
        <x:v>Masked Shrike</x:v>
      </x:c>
      <x:c r="E480" s="32" t="str">
        <x:v>Lanius nubicus</x:v>
      </x:c>
      <x:c r="F480" s="30" t="str">
        <x:v>very_rare</x:v>
      </x:c>
      <x:c r="G480" s="30" t="str">
        <x:v>standard</x:v>
      </x:c>
      <x:c r="H480" s="30" t="str">
        <x:v>year-round</x:v>
      </x:c>
      <x:c r="I4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1">
      <x:c r="A481" s="36" t="str">
        <x:v>mediterranean_europe</x:v>
      </x:c>
      <x:c r="B481" s="30" t="str">
        <x:v>mediterranean-europe-broad-draft-1</x:v>
      </x:c>
      <x:c r="C481" s="30" t="n">
        <x:v>4514</x:v>
      </x:c>
      <x:c r="D481" s="32" t="str">
        <x:v>White-winged Tern</x:v>
      </x:c>
      <x:c r="E481" s="32" t="str">
        <x:v>Chlidonias leucopterus</x:v>
      </x:c>
      <x:c r="F481" s="30" t="str">
        <x:v>very_rare</x:v>
      </x:c>
      <x:c r="G481" s="30" t="str">
        <x:v>standard</x:v>
      </x:c>
      <x:c r="H481" s="30" t="str">
        <x:v>year-round</x:v>
      </x:c>
      <x:c r="I4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2">
      <x:c r="A482" s="36" t="str">
        <x:v>mediterranean_europe</x:v>
      </x:c>
      <x:c r="B482" s="30" t="str">
        <x:v>mediterranean-europe-broad-draft-1</x:v>
      </x:c>
      <x:c r="C482" s="30" t="n">
        <x:v>55990</x:v>
      </x:c>
      <x:c r="D482" s="32" t="str">
        <x:v>Common Wall Lizard</x:v>
      </x:c>
      <x:c r="E482" s="32" t="str">
        <x:v>Podarcis muralis</x:v>
      </x:c>
      <x:c r="F482" s="30" t="str">
        <x:v>common</x:v>
      </x:c>
      <x:c r="G482" s="30" t="str">
        <x:v>standard</x:v>
      </x:c>
      <x:c r="H482" s="30" t="str">
        <x:v>year-round</x:v>
      </x:c>
      <x:c r="I4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3">
      <x:c r="A483" s="36" t="str">
        <x:v>mediterranean_europe</x:v>
      </x:c>
      <x:c r="B483" s="30" t="str">
        <x:v>mediterranean-europe-broad-draft-1</x:v>
      </x:c>
      <x:c r="C483" s="30" t="n">
        <x:v>33602</x:v>
      </x:c>
      <x:c r="D483" s="32" t="str">
        <x:v>Moorish Gecko</x:v>
      </x:c>
      <x:c r="E483" s="32" t="str">
        <x:v>Tarentola mauritanica</x:v>
      </x:c>
      <x:c r="F483" s="30" t="str">
        <x:v>common</x:v>
      </x:c>
      <x:c r="G483" s="30" t="str">
        <x:v>standard</x:v>
      </x:c>
      <x:c r="H483" s="30" t="str">
        <x:v>year-round</x:v>
      </x:c>
      <x:c r="I4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4">
      <x:c r="A484" s="36" t="str">
        <x:v>mediterranean_europe</x:v>
      </x:c>
      <x:c r="B484" s="30" t="str">
        <x:v>mediterranean-europe-broad-draft-1</x:v>
      </x:c>
      <x:c r="C484" s="30" t="n">
        <x:v>337045</x:v>
      </x:c>
      <x:c r="D484" s="32" t="str">
        <x:v>Italian Wall Lizard</x:v>
      </x:c>
      <x:c r="E484" s="32" t="str">
        <x:v>Podarcis siculus</x:v>
      </x:c>
      <x:c r="F484" s="30" t="str">
        <x:v>common</x:v>
      </x:c>
      <x:c r="G484" s="30" t="str">
        <x:v>standard</x:v>
      </x:c>
      <x:c r="H484" s="30" t="str">
        <x:v>year-round</x:v>
      </x:c>
      <x:c r="I4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5">
      <x:c r="A485" s="36" t="str">
        <x:v>mediterranean_europe</x:v>
      </x:c>
      <x:c r="B485" s="30" t="str">
        <x:v>mediterranean-europe-broad-draft-1</x:v>
      </x:c>
      <x:c r="C485" s="30" t="n">
        <x:v>35519</x:v>
      </x:c>
      <x:c r="D485" s="32" t="str">
        <x:v>Large Psammodromus</x:v>
      </x:c>
      <x:c r="E485" s="32" t="str">
        <x:v>Psammodromus algirus</x:v>
      </x:c>
      <x:c r="F485" s="30" t="str">
        <x:v>common</x:v>
      </x:c>
      <x:c r="G485" s="30" t="str">
        <x:v>standard</x:v>
      </x:c>
      <x:c r="H485" s="30" t="str">
        <x:v>year-round</x:v>
      </x:c>
      <x:c r="I4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6">
      <x:c r="A486" s="36" t="str">
        <x:v>mediterranean_europe</x:v>
      </x:c>
      <x:c r="B486" s="30" t="str">
        <x:v>mediterranean-europe-broad-draft-1</x:v>
      </x:c>
      <x:c r="C486" s="30" t="n">
        <x:v>35900</x:v>
      </x:c>
      <x:c r="D486" s="32" t="str">
        <x:v>Western Green Lizard</x:v>
      </x:c>
      <x:c r="E486" s="32" t="str">
        <x:v>Lacerta bilineata</x:v>
      </x:c>
      <x:c r="F486" s="30" t="str">
        <x:v>common</x:v>
      </x:c>
      <x:c r="G486" s="30" t="str">
        <x:v>standard</x:v>
      </x:c>
      <x:c r="H486" s="30" t="str">
        <x:v>year-round</x:v>
      </x:c>
      <x:c r="I4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7">
      <x:c r="A487" s="36" t="str">
        <x:v>mediterranean_europe</x:v>
      </x:c>
      <x:c r="B487" s="30" t="str">
        <x:v>mediterranean-europe-broad-draft-1</x:v>
      </x:c>
      <x:c r="C487" s="30" t="n">
        <x:v>34435</x:v>
      </x:c>
      <x:c r="D487" s="32" t="str">
        <x:v>Mediterranean House Gecko</x:v>
      </x:c>
      <x:c r="E487" s="32" t="str">
        <x:v>Hemidactylus turcicus</x:v>
      </x:c>
      <x:c r="F487" s="30" t="str">
        <x:v>common</x:v>
      </x:c>
      <x:c r="G487" s="30" t="str">
        <x:v>standard</x:v>
      </x:c>
      <x:c r="H487" s="30" t="str">
        <x:v>year-round</x:v>
      </x:c>
      <x:c r="I4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8">
      <x:c r="A488" s="36" t="str">
        <x:v>mediterranean_europe</x:v>
      </x:c>
      <x:c r="B488" s="30" t="str">
        <x:v>mediterranean-europe-broad-draft-1</x:v>
      </x:c>
      <x:c r="C488" s="30" t="n">
        <x:v>73823</x:v>
      </x:c>
      <x:c r="D488" s="32" t="str">
        <x:v>Green Whip Snake</x:v>
      </x:c>
      <x:c r="E488" s="32" t="str">
        <x:v>Hierophis viridiflavus</x:v>
      </x:c>
      <x:c r="F488" s="30" t="str">
        <x:v>common</x:v>
      </x:c>
      <x:c r="G488" s="30" t="str">
        <x:v>standard</x:v>
      </x:c>
      <x:c r="H488" s="30" t="str">
        <x:v>year-round</x:v>
      </x:c>
      <x:c r="I4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89">
      <x:c r="A489" s="36" t="str">
        <x:v>mediterranean_europe</x:v>
      </x:c>
      <x:c r="B489" s="30" t="str">
        <x:v>mediterranean-europe-broad-draft-1</x:v>
      </x:c>
      <x:c r="C489" s="30" t="n">
        <x:v>71212</x:v>
      </x:c>
      <x:c r="D489" s="32" t="str">
        <x:v>Hermann's Tortoise</x:v>
      </x:c>
      <x:c r="E489" s="32" t="str">
        <x:v>Testudo hermanni</x:v>
      </x:c>
      <x:c r="F489" s="30" t="str">
        <x:v>common</x:v>
      </x:c>
      <x:c r="G489" s="30" t="str">
        <x:v>standard</x:v>
      </x:c>
      <x:c r="H489" s="30" t="str">
        <x:v>year-round</x:v>
      </x:c>
      <x:c r="I489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490">
      <x:c r="A490" s="36" t="str">
        <x:v>mediterranean_europe</x:v>
      </x:c>
      <x:c r="B490" s="30" t="str">
        <x:v>mediterranean-europe-broad-draft-1</x:v>
      </x:c>
      <x:c r="C490" s="30" t="n">
        <x:v>73972</x:v>
      </x:c>
      <x:c r="D490" s="32" t="str">
        <x:v>Ocellated Lizard</x:v>
      </x:c>
      <x:c r="E490" s="32" t="str">
        <x:v>Timon lepidus</x:v>
      </x:c>
      <x:c r="F490" s="30" t="str">
        <x:v>common</x:v>
      </x:c>
      <x:c r="G490" s="30" t="str">
        <x:v>standard</x:v>
      </x:c>
      <x:c r="H490" s="30" t="str">
        <x:v>spring to autumn</x:v>
      </x:c>
      <x:c r="I490" s="37" t="str">
        <x:v>Owner-managed mediterranean_europe essential checklist; imported from mediterranean_europe_checklists.csv. Encounter rarity and prestige are curated game metadata. Automated rarity: inaturalist-regional-frequency-v1.</x:v>
      </x:c>
    </x:row>
    <x:row r="491">
      <x:c r="A491" s="36" t="str">
        <x:v>mediterranean_europe</x:v>
      </x:c>
      <x:c r="B491" s="30" t="str">
        <x:v>mediterranean-europe-broad-draft-1</x:v>
      </x:c>
      <x:c r="C491" s="30" t="n">
        <x:v>29351</x:v>
      </x:c>
      <x:c r="D491" s="32" t="str">
        <x:v>Viperine Snake</x:v>
      </x:c>
      <x:c r="E491" s="32" t="str">
        <x:v>Natrix maura</x:v>
      </x:c>
      <x:c r="F491" s="30" t="str">
        <x:v>common</x:v>
      </x:c>
      <x:c r="G491" s="30" t="str">
        <x:v>standard</x:v>
      </x:c>
      <x:c r="H491" s="30" t="str">
        <x:v>year-round</x:v>
      </x:c>
      <x:c r="I4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2">
      <x:c r="A492" s="36" t="str">
        <x:v>mediterranean_europe</x:v>
      </x:c>
      <x:c r="B492" s="30" t="str">
        <x:v>mediterranean-europe-broad-draft-1</x:v>
      </x:c>
      <x:c r="C492" s="30" t="n">
        <x:v>424860</x:v>
      </x:c>
      <x:c r="D492" s="32" t="str">
        <x:v>Green Iberian Wall Lizard</x:v>
      </x:c>
      <x:c r="E492" s="32" t="str">
        <x:v>Podarcis virescens</x:v>
      </x:c>
      <x:c r="F492" s="30" t="str">
        <x:v>common</x:v>
      </x:c>
      <x:c r="G492" s="30" t="str">
        <x:v>standard</x:v>
      </x:c>
      <x:c r="H492" s="30" t="str">
        <x:v>year-round</x:v>
      </x:c>
      <x:c r="I4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3">
      <x:c r="A493" s="36" t="str">
        <x:v>mediterranean_europe</x:v>
      </x:c>
      <x:c r="B493" s="30" t="str">
        <x:v>mediterranean-europe-broad-draft-1</x:v>
      </x:c>
      <x:c r="C493" s="30" t="n">
        <x:v>35706</x:v>
      </x:c>
      <x:c r="D493" s="32" t="str">
        <x:v>Bocage's Wall Lizard</x:v>
      </x:c>
      <x:c r="E493" s="32" t="str">
        <x:v>Podarcis bocagei</x:v>
      </x:c>
      <x:c r="F493" s="30" t="str">
        <x:v>common</x:v>
      </x:c>
      <x:c r="G493" s="30" t="str">
        <x:v>standard</x:v>
      </x:c>
      <x:c r="H493" s="30" t="str">
        <x:v>year-round</x:v>
      </x:c>
      <x:c r="I4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4">
      <x:c r="A494" s="36" t="str">
        <x:v>mediterranean_europe</x:v>
      </x:c>
      <x:c r="B494" s="30" t="str">
        <x:v>mediterranean-europe-broad-draft-1</x:v>
      </x:c>
      <x:c r="C494" s="30" t="n">
        <x:v>35995</x:v>
      </x:c>
      <x:c r="D494" s="32" t="str">
        <x:v>Tenerife Lizard</x:v>
      </x:c>
      <x:c r="E494" s="32" t="str">
        <x:v>Gallotia galloti</x:v>
      </x:c>
      <x:c r="F494" s="30" t="str">
        <x:v>common</x:v>
      </x:c>
      <x:c r="G494" s="30" t="str">
        <x:v>standard</x:v>
      </x:c>
      <x:c r="H494" s="30" t="str">
        <x:v>year-round</x:v>
      </x:c>
      <x:c r="I4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5">
      <x:c r="A495" s="36" t="str">
        <x:v>mediterranean_europe</x:v>
      </x:c>
      <x:c r="B495" s="30" t="str">
        <x:v>mediterranean-europe-broad-draft-1</x:v>
      </x:c>
      <x:c r="C495" s="30" t="n">
        <x:v>343020</x:v>
      </x:c>
      <x:c r="D495" s="32" t="str">
        <x:v>Italian Slowworm</x:v>
      </x:c>
      <x:c r="E495" s="32" t="str">
        <x:v>Anguis veronensis</x:v>
      </x:c>
      <x:c r="F495" s="30" t="str">
        <x:v>common</x:v>
      </x:c>
      <x:c r="G495" s="30" t="str">
        <x:v>standard</x:v>
      </x:c>
      <x:c r="H495" s="30" t="str">
        <x:v>year-round</x:v>
      </x:c>
      <x:c r="I4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6">
      <x:c r="A496" s="36" t="str">
        <x:v>mediterranean_europe</x:v>
      </x:c>
      <x:c r="B496" s="30" t="str">
        <x:v>mediterranean-europe-broad-draft-1</x:v>
      </x:c>
      <x:c r="C496" s="30" t="n">
        <x:v>35666</x:v>
      </x:c>
      <x:c r="D496" s="32" t="str">
        <x:v>Catalonian Wall Lizard</x:v>
      </x:c>
      <x:c r="E496" s="32" t="str">
        <x:v>Podarcis liolepis</x:v>
      </x:c>
      <x:c r="F496" s="30" t="str">
        <x:v>common</x:v>
      </x:c>
      <x:c r="G496" s="30" t="str">
        <x:v>standard</x:v>
      </x:c>
      <x:c r="H496" s="30" t="str">
        <x:v>year-round</x:v>
      </x:c>
      <x:c r="I4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7">
      <x:c r="A497" s="36" t="str">
        <x:v>mediterranean_europe</x:v>
      </x:c>
      <x:c r="B497" s="30" t="str">
        <x:v>mediterranean-europe-broad-draft-1</x:v>
      </x:c>
      <x:c r="C497" s="30" t="n">
        <x:v>540328</x:v>
      </x:c>
      <x:c r="D497" s="32" t="str">
        <x:v>Ladder Snake</x:v>
      </x:c>
      <x:c r="E497" s="32" t="str">
        <x:v>Zamenis scalaris</x:v>
      </x:c>
      <x:c r="F497" s="30" t="str">
        <x:v>common</x:v>
      </x:c>
      <x:c r="G497" s="30" t="str">
        <x:v>standard</x:v>
      </x:c>
      <x:c r="H497" s="30" t="str">
        <x:v>year-round</x:v>
      </x:c>
      <x:c r="I4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8">
      <x:c r="A498" s="36" t="str">
        <x:v>mediterranean_europe</x:v>
      </x:c>
      <x:c r="B498" s="30" t="str">
        <x:v>mediterranean-europe-broad-draft-1</x:v>
      </x:c>
      <x:c r="C498" s="30" t="n">
        <x:v>29449</x:v>
      </x:c>
      <x:c r="D498" s="32" t="str">
        <x:v>Western Montpellier Snake</x:v>
      </x:c>
      <x:c r="E498" s="32" t="str">
        <x:v>Malpolon monspessulanus</x:v>
      </x:c>
      <x:c r="F498" s="30" t="str">
        <x:v>common</x:v>
      </x:c>
      <x:c r="G498" s="30" t="str">
        <x:v>standard</x:v>
      </x:c>
      <x:c r="H498" s="30" t="str">
        <x:v>year-round</x:v>
      </x:c>
      <x:c r="I4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499">
      <x:c r="A499" s="36" t="str">
        <x:v>mediterranean_europe</x:v>
      </x:c>
      <x:c r="B499" s="30" t="str">
        <x:v>mediterranean-europe-broad-draft-1</x:v>
      </x:c>
      <x:c r="C499" s="30" t="n">
        <x:v>343021</x:v>
      </x:c>
      <x:c r="D499" s="32" t="str">
        <x:v>Common Slowworm</x:v>
      </x:c>
      <x:c r="E499" s="32" t="str">
        <x:v>Anguis fragilis</x:v>
      </x:c>
      <x:c r="F499" s="30" t="str">
        <x:v>common</x:v>
      </x:c>
      <x:c r="G499" s="30" t="str">
        <x:v>standard</x:v>
      </x:c>
      <x:c r="H499" s="30" t="str">
        <x:v>year-round</x:v>
      </x:c>
      <x:c r="I4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0">
      <x:c r="A500" s="36" t="str">
        <x:v>mediterranean_europe</x:v>
      </x:c>
      <x:c r="B500" s="30" t="str">
        <x:v>mediterranean-europe-broad-draft-1</x:v>
      </x:c>
      <x:c r="C500" s="30" t="n">
        <x:v>851211</x:v>
      </x:c>
      <x:c r="D500" s="32" t="str">
        <x:v>Barred Grass Snake</x:v>
      </x:c>
      <x:c r="E500" s="32" t="str">
        <x:v>Natrix helvetica</x:v>
      </x:c>
      <x:c r="F500" s="30" t="str">
        <x:v>common</x:v>
      </x:c>
      <x:c r="G500" s="30" t="str">
        <x:v>standard</x:v>
      </x:c>
      <x:c r="H500" s="30" t="str">
        <x:v>year-round</x:v>
      </x:c>
      <x:c r="I5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1">
      <x:c r="A501" s="36" t="str">
        <x:v>mediterranean_europe</x:v>
      </x:c>
      <x:c r="B501" s="30" t="str">
        <x:v>mediterranean-europe-broad-draft-1</x:v>
      </x:c>
      <x:c r="C501" s="30" t="n">
        <x:v>39976</x:v>
      </x:c>
      <x:c r="D501" s="32" t="str">
        <x:v>Mediterranean Turtle</x:v>
      </x:c>
      <x:c r="E501" s="32" t="str">
        <x:v>Mauremys leprosa</x:v>
      </x:c>
      <x:c r="F501" s="30" t="str">
        <x:v>common</x:v>
      </x:c>
      <x:c r="G501" s="30" t="str">
        <x:v>standard</x:v>
      </x:c>
      <x:c r="H501" s="30" t="str">
        <x:v>year-round</x:v>
      </x:c>
      <x:c r="I5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2">
      <x:c r="A502" s="36" t="str">
        <x:v>mediterranean_europe</x:v>
      </x:c>
      <x:c r="B502" s="30" t="str">
        <x:v>mediterranean-europe-broad-draft-1</x:v>
      </x:c>
      <x:c r="C502" s="30" t="n">
        <x:v>74009</x:v>
      </x:c>
      <x:c r="D502" s="32" t="str">
        <x:v>Aesculapian Snake</x:v>
      </x:c>
      <x:c r="E502" s="32" t="str">
        <x:v>Zamenis longissimus</x:v>
      </x:c>
      <x:c r="F502" s="30" t="str">
        <x:v>common</x:v>
      </x:c>
      <x:c r="G502" s="30" t="str">
        <x:v>standard</x:v>
      </x:c>
      <x:c r="H502" s="30" t="str">
        <x:v>year-round</x:v>
      </x:c>
      <x:c r="I5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3">
      <x:c r="A503" s="36" t="str">
        <x:v>mediterranean_europe</x:v>
      </x:c>
      <x:c r="B503" s="30" t="str">
        <x:v>mediterranean-europe-broad-draft-1</x:v>
      </x:c>
      <x:c r="C503" s="30" t="n">
        <x:v>1473498</x:v>
      </x:c>
      <x:c r="D503" s="32" t="str">
        <x:v>Podarcis lusitanicus</x:v>
      </x:c>
      <x:c r="E503" s="32" t="str">
        <x:v>Podarcis lusitanicus</x:v>
      </x:c>
      <x:c r="F503" s="30" t="str">
        <x:v>common</x:v>
      </x:c>
      <x:c r="G503" s="30" t="str">
        <x:v>standard</x:v>
      </x:c>
      <x:c r="H503" s="30" t="str">
        <x:v>year-round</x:v>
      </x:c>
      <x:c r="I5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4">
      <x:c r="A504" s="36" t="str">
        <x:v>mediterranean_europe</x:v>
      </x:c>
      <x:c r="B504" s="30" t="str">
        <x:v>mediterranean-europe-broad-draft-1</x:v>
      </x:c>
      <x:c r="C504" s="30" t="n">
        <x:v>35474</x:v>
      </x:c>
      <x:c r="D504" s="32" t="str">
        <x:v>Madeira Lizard</x:v>
      </x:c>
      <x:c r="E504" s="32" t="str">
        <x:v>Teira dugesii</x:v>
      </x:c>
      <x:c r="F504" s="30" t="str">
        <x:v>common</x:v>
      </x:c>
      <x:c r="G504" s="30" t="str">
        <x:v>standard</x:v>
      </x:c>
      <x:c r="H504" s="30" t="str">
        <x:v>year-round</x:v>
      </x:c>
      <x:c r="I5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5">
      <x:c r="A505" s="36" t="str">
        <x:v>mediterranean_europe</x:v>
      </x:c>
      <x:c r="B505" s="30" t="str">
        <x:v>mediterranean-europe-broad-draft-1</x:v>
      </x:c>
      <x:c r="C505" s="30" t="n">
        <x:v>64346</x:v>
      </x:c>
      <x:c r="D505" s="32" t="str">
        <x:v>Tessellated Water Snake</x:v>
      </x:c>
      <x:c r="E505" s="32" t="str">
        <x:v>Natrix tessellata</x:v>
      </x:c>
      <x:c r="F505" s="30" t="str">
        <x:v>common</x:v>
      </x:c>
      <x:c r="G505" s="30" t="str">
        <x:v>standard</x:v>
      </x:c>
      <x:c r="H505" s="30" t="str">
        <x:v>year-round</x:v>
      </x:c>
      <x:c r="I5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6">
      <x:c r="A506" s="36" t="str">
        <x:v>mediterranean_europe</x:v>
      </x:c>
      <x:c r="B506" s="30" t="str">
        <x:v>mediterranean-europe-broad-draft-1</x:v>
      </x:c>
      <x:c r="C506" s="30" t="n">
        <x:v>40038</x:v>
      </x:c>
      <x:c r="D506" s="32" t="str">
        <x:v>Marginated Tortoise</x:v>
      </x:c>
      <x:c r="E506" s="32" t="str">
        <x:v>Testudo marginata</x:v>
      </x:c>
      <x:c r="F506" s="30" t="str">
        <x:v>common</x:v>
      </x:c>
      <x:c r="G506" s="30" t="str">
        <x:v>standard</x:v>
      </x:c>
      <x:c r="H506" s="30" t="str">
        <x:v>year-round</x:v>
      </x:c>
      <x:c r="I5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7">
      <x:c r="A507" s="36" t="str">
        <x:v>mediterranean_europe</x:v>
      </x:c>
      <x:c r="B507" s="30" t="str">
        <x:v>mediterranean-europe-broad-draft-1</x:v>
      </x:c>
      <x:c r="C507" s="30" t="n">
        <x:v>35868</x:v>
      </x:c>
      <x:c r="D507" s="32" t="str">
        <x:v>Iberian Emerald Lizard</x:v>
      </x:c>
      <x:c r="E507" s="32" t="str">
        <x:v>Lacerta schreiberi</x:v>
      </x:c>
      <x:c r="F507" s="30" t="str">
        <x:v>common</x:v>
      </x:c>
      <x:c r="G507" s="30" t="str">
        <x:v>standard</x:v>
      </x:c>
      <x:c r="H507" s="30" t="str">
        <x:v>year-round</x:v>
      </x:c>
      <x:c r="I5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8">
      <x:c r="A508" s="36" t="str">
        <x:v>mediterranean_europe</x:v>
      </x:c>
      <x:c r="B508" s="30" t="str">
        <x:v>mediterranean-europe-broad-draft-1</x:v>
      </x:c>
      <x:c r="C508" s="30" t="n">
        <x:v>73821</x:v>
      </x:c>
      <x:c r="D508" s="32" t="str">
        <x:v>Horseshoe Whip Snake</x:v>
      </x:c>
      <x:c r="E508" s="32" t="str">
        <x:v>Hemorrhois hippocrepis</x:v>
      </x:c>
      <x:c r="F508" s="30" t="str">
        <x:v>common</x:v>
      </x:c>
      <x:c r="G508" s="30" t="str">
        <x:v>standard</x:v>
      </x:c>
      <x:c r="H508" s="30" t="str">
        <x:v>year-round</x:v>
      </x:c>
      <x:c r="I5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09">
      <x:c r="A509" s="36" t="str">
        <x:v>mediterranean_europe</x:v>
      </x:c>
      <x:c r="B509" s="30" t="str">
        <x:v>mediterranean-europe-broad-draft-1</x:v>
      </x:c>
      <x:c r="C509" s="30" t="n">
        <x:v>39665</x:v>
      </x:c>
      <x:c r="D509" s="32" t="str">
        <x:v>Loggerhead Sea Turtle</x:v>
      </x:c>
      <x:c r="E509" s="32" t="str">
        <x:v>Caretta caretta</x:v>
      </x:c>
      <x:c r="F509" s="30" t="str">
        <x:v>common</x:v>
      </x:c>
      <x:c r="G509" s="30" t="str">
        <x:v>standard</x:v>
      </x:c>
      <x:c r="H509" s="30" t="str">
        <x:v>year-round</x:v>
      </x:c>
      <x:c r="I5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0">
      <x:c r="A510" s="36" t="str">
        <x:v>mediterranean_europe</x:v>
      </x:c>
      <x:c r="B510" s="30" t="str">
        <x:v>mediterranean-europe-broad-draft-1</x:v>
      </x:c>
      <x:c r="C510" s="30" t="n">
        <x:v>39867</x:v>
      </x:c>
      <x:c r="D510" s="32" t="str">
        <x:v>European Pond Turtle</x:v>
      </x:c>
      <x:c r="E510" s="32" t="str">
        <x:v>Emys orbicularis</x:v>
      </x:c>
      <x:c r="F510" s="30" t="str">
        <x:v>common</x:v>
      </x:c>
      <x:c r="G510" s="30" t="str">
        <x:v>standard</x:v>
      </x:c>
      <x:c r="H510" s="30" t="str">
        <x:v>year-round</x:v>
      </x:c>
      <x:c r="I5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1">
      <x:c r="A511" s="36" t="str">
        <x:v>mediterranean_europe</x:v>
      </x:c>
      <x:c r="B511" s="30" t="str">
        <x:v>mediterranean-europe-broad-draft-1</x:v>
      </x:c>
      <x:c r="C511" s="30" t="n">
        <x:v>26904</x:v>
      </x:c>
      <x:c r="D511" s="32" t="str">
        <x:v>Smooth Snake</x:v>
      </x:c>
      <x:c r="E511" s="32" t="str">
        <x:v>Coronella austriaca</x:v>
      </x:c>
      <x:c r="F511" s="30" t="str">
        <x:v>common</x:v>
      </x:c>
      <x:c r="G511" s="30" t="str">
        <x:v>standard</x:v>
      </x:c>
      <x:c r="H511" s="30" t="str">
        <x:v>year-round</x:v>
      </x:c>
      <x:c r="I5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2">
      <x:c r="A512" s="36" t="str">
        <x:v>mediterranean_europe</x:v>
      </x:c>
      <x:c r="B512" s="30" t="str">
        <x:v>mediterranean-europe-broad-draft-1</x:v>
      </x:c>
      <x:c r="C512" s="30" t="n">
        <x:v>424861</x:v>
      </x:c>
      <x:c r="D512" s="32" t="str">
        <x:v>Guadarrama Wall Lizard</x:v>
      </x:c>
      <x:c r="E512" s="32" t="str">
        <x:v>Podarcis guadarramae</x:v>
      </x:c>
      <x:c r="F512" s="30" t="str">
        <x:v>common</x:v>
      </x:c>
      <x:c r="G512" s="30" t="str">
        <x:v>standard</x:v>
      </x:c>
      <x:c r="H512" s="30" t="str">
        <x:v>year-round</x:v>
      </x:c>
      <x:c r="I5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3">
      <x:c r="A513" s="36" t="str">
        <x:v>mediterranean_europe</x:v>
      </x:c>
      <x:c r="B513" s="30" t="str">
        <x:v>mediterranean-europe-broad-draft-1</x:v>
      </x:c>
      <x:c r="C513" s="30" t="n">
        <x:v>73921</x:v>
      </x:c>
      <x:c r="D513" s="32" t="str">
        <x:v>Andalusian wall lizard</x:v>
      </x:c>
      <x:c r="E513" s="32" t="str">
        <x:v>Podarcis vaucheri</x:v>
      </x:c>
      <x:c r="F513" s="30" t="str">
        <x:v>common</x:v>
      </x:c>
      <x:c r="G513" s="30" t="str">
        <x:v>standard</x:v>
      </x:c>
      <x:c r="H513" s="30" t="str">
        <x:v>year-round</x:v>
      </x:c>
      <x:c r="I5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4">
      <x:c r="A514" s="36" t="str">
        <x:v>mediterranean_europe</x:v>
      </x:c>
      <x:c r="B514" s="30" t="str">
        <x:v>mediterranean-europe-broad-draft-1</x:v>
      </x:c>
      <x:c r="C514" s="30" t="n">
        <x:v>966781</x:v>
      </x:c>
      <x:c r="D514" s="32" t="str">
        <x:v>Iberian Grass Snake</x:v>
      </x:c>
      <x:c r="E514" s="32" t="str">
        <x:v>Natrix astreptophora</x:v>
      </x:c>
      <x:c r="F514" s="30" t="str">
        <x:v>common</x:v>
      </x:c>
      <x:c r="G514" s="30" t="str">
        <x:v>standard</x:v>
      </x:c>
      <x:c r="H514" s="30" t="str">
        <x:v>year-round</x:v>
      </x:c>
      <x:c r="I5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5">
      <x:c r="A515" s="36" t="str">
        <x:v>mediterranean_europe</x:v>
      </x:c>
      <x:c r="B515" s="30" t="str">
        <x:v>mediterranean-europe-broad-draft-1</x:v>
      </x:c>
      <x:c r="C515" s="30" t="n">
        <x:v>26888</x:v>
      </x:c>
      <x:c r="D515" s="32" t="str">
        <x:v>Southern Smooth Snake</x:v>
      </x:c>
      <x:c r="E515" s="32" t="str">
        <x:v>Coronella girondica</x:v>
      </x:c>
      <x:c r="F515" s="30" t="str">
        <x:v>common</x:v>
      </x:c>
      <x:c r="G515" s="30" t="str">
        <x:v>standard</x:v>
      </x:c>
      <x:c r="H515" s="30" t="str">
        <x:v>year-round</x:v>
      </x:c>
      <x:c r="I5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6">
      <x:c r="A516" s="36" t="str">
        <x:v>mediterranean_europe</x:v>
      </x:c>
      <x:c r="B516" s="30" t="str">
        <x:v>mediterranean-europe-broad-draft-1</x:v>
      </x:c>
      <x:c r="C516" s="30" t="n">
        <x:v>36052</x:v>
      </x:c>
      <x:c r="D516" s="32" t="str">
        <x:v>Blue-throated Keeled Lizard</x:v>
      </x:c>
      <x:c r="E516" s="32" t="str">
        <x:v>Algyroides nigropunctatus</x:v>
      </x:c>
      <x:c r="F516" s="30" t="str">
        <x:v>common</x:v>
      </x:c>
      <x:c r="G516" s="30" t="str">
        <x:v>standard</x:v>
      </x:c>
      <x:c r="H516" s="30" t="str">
        <x:v>year-round</x:v>
      </x:c>
      <x:c r="I5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7">
      <x:c r="A517" s="36" t="str">
        <x:v>mediterranean_europe</x:v>
      </x:c>
      <x:c r="B517" s="30" t="str">
        <x:v>mediterranean-europe-broad-draft-1</x:v>
      </x:c>
      <x:c r="C517" s="30" t="n">
        <x:v>35710</x:v>
      </x:c>
      <x:c r="D517" s="32" t="str">
        <x:v>Dalmatian Wall Lizard</x:v>
      </x:c>
      <x:c r="E517" s="32" t="str">
        <x:v>Podarcis melisellensis</x:v>
      </x:c>
      <x:c r="F517" s="30" t="str">
        <x:v>common</x:v>
      </x:c>
      <x:c r="G517" s="30" t="str">
        <x:v>standard</x:v>
      </x:c>
      <x:c r="H517" s="30" t="str">
        <x:v>year-round</x:v>
      </x:c>
      <x:c r="I5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8">
      <x:c r="A518" s="36" t="str">
        <x:v>mediterranean_europe</x:v>
      </x:c>
      <x:c r="B518" s="30" t="str">
        <x:v>mediterranean-europe-broad-draft-1</x:v>
      </x:c>
      <x:c r="C518" s="30" t="n">
        <x:v>30929</x:v>
      </x:c>
      <x:c r="D518" s="32" t="str">
        <x:v>Asp Viper</x:v>
      </x:c>
      <x:c r="E518" s="32" t="str">
        <x:v>Vipera aspis</x:v>
      </x:c>
      <x:c r="F518" s="30" t="str">
        <x:v>common</x:v>
      </x:c>
      <x:c r="G518" s="30" t="str">
        <x:v>standard</x:v>
      </x:c>
      <x:c r="H518" s="30" t="str">
        <x:v>year-round</x:v>
      </x:c>
      <x:c r="I5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19">
      <x:c r="A519" s="36" t="str">
        <x:v>mediterranean_europe</x:v>
      </x:c>
      <x:c r="B519" s="30" t="str">
        <x:v>mediterranean-europe-broad-draft-1</x:v>
      </x:c>
      <x:c r="C519" s="30" t="n">
        <x:v>35871</x:v>
      </x:c>
      <x:c r="D519" s="32" t="str">
        <x:v>Balkan Green Lizard</x:v>
      </x:c>
      <x:c r="E519" s="32" t="str">
        <x:v>Lacerta trilineata</x:v>
      </x:c>
      <x:c r="F519" s="30" t="str">
        <x:v>common</x:v>
      </x:c>
      <x:c r="G519" s="30" t="str">
        <x:v>standard</x:v>
      </x:c>
      <x:c r="H519" s="30" t="str">
        <x:v>year-round</x:v>
      </x:c>
      <x:c r="I5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0">
      <x:c r="A520" s="36" t="str">
        <x:v>mediterranean_europe</x:v>
      </x:c>
      <x:c r="B520" s="30" t="str">
        <x:v>mediterranean-europe-broad-draft-1</x:v>
      </x:c>
      <x:c r="C520" s="30" t="n">
        <x:v>966787</x:v>
      </x:c>
      <x:c r="D520" s="32" t="str">
        <x:v>grass snake</x:v>
      </x:c>
      <x:c r="E520" s="32" t="str">
        <x:v>Natrix natrix</x:v>
      </x:c>
      <x:c r="F520" s="30" t="str">
        <x:v>common</x:v>
      </x:c>
      <x:c r="G520" s="30" t="str">
        <x:v>standard</x:v>
      </x:c>
      <x:c r="H520" s="30" t="str">
        <x:v>year-round</x:v>
      </x:c>
      <x:c r="I5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1">
      <x:c r="A521" s="36" t="str">
        <x:v>mediterranean_europe</x:v>
      </x:c>
      <x:c r="B521" s="30" t="str">
        <x:v>mediterranean-europe-broad-draft-1</x:v>
      </x:c>
      <x:c r="C521" s="30" t="n">
        <x:v>35854</x:v>
      </x:c>
      <x:c r="D521" s="32" t="str">
        <x:v>Green Lizard</x:v>
      </x:c>
      <x:c r="E521" s="32" t="str">
        <x:v>Lacerta viridis</x:v>
      </x:c>
      <x:c r="F521" s="30" t="str">
        <x:v>common</x:v>
      </x:c>
      <x:c r="G521" s="30" t="str">
        <x:v>standard</x:v>
      </x:c>
      <x:c r="H521" s="30" t="str">
        <x:v>year-round</x:v>
      </x:c>
      <x:c r="I5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2">
      <x:c r="A522" s="36" t="str">
        <x:v>mediterranean_europe</x:v>
      </x:c>
      <x:c r="B522" s="30" t="str">
        <x:v>mediterranean-europe-broad-draft-1</x:v>
      </x:c>
      <x:c r="C522" s="30" t="n">
        <x:v>146280</x:v>
      </x:c>
      <x:c r="D522" s="32" t="str">
        <x:v>Kotschy's Gecko</x:v>
      </x:c>
      <x:c r="E522" s="32" t="str">
        <x:v>Mediodactylus kotschyi</x:v>
      </x:c>
      <x:c r="F522" s="30" t="str">
        <x:v>common</x:v>
      </x:c>
      <x:c r="G522" s="30" t="str">
        <x:v>standard</x:v>
      </x:c>
      <x:c r="H522" s="30" t="str">
        <x:v>year-round</x:v>
      </x:c>
      <x:c r="I5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3">
      <x:c r="A523" s="36" t="str">
        <x:v>mediterranean_europe</x:v>
      </x:c>
      <x:c r="B523" s="30" t="str">
        <x:v>mediterranean-europe-broad-draft-1</x:v>
      </x:c>
      <x:c r="C523" s="30" t="n">
        <x:v>31975</x:v>
      </x:c>
      <x:c r="D523" s="32" t="str">
        <x:v>European Glass Lizard</x:v>
      </x:c>
      <x:c r="E523" s="32" t="str">
        <x:v>Pseudopus apodus</x:v>
      </x:c>
      <x:c r="F523" s="30" t="str">
        <x:v>common</x:v>
      </x:c>
      <x:c r="G523" s="30" t="str">
        <x:v>standard</x:v>
      </x:c>
      <x:c r="H523" s="30" t="str">
        <x:v>year-round</x:v>
      </x:c>
      <x:c r="I5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4">
      <x:c r="A524" s="36" t="str">
        <x:v>mediterranean_europe</x:v>
      </x:c>
      <x:c r="B524" s="30" t="str">
        <x:v>mediterranean-europe-broad-draft-1</x:v>
      </x:c>
      <x:c r="C524" s="30" t="n">
        <x:v>1424710</x:v>
      </x:c>
      <x:c r="D524" s="32" t="str">
        <x:v>Roughtail Rock Agama</x:v>
      </x:c>
      <x:c r="E524" s="32" t="str">
        <x:v>Laudakia stellio</x:v>
      </x:c>
      <x:c r="F524" s="30" t="str">
        <x:v>common</x:v>
      </x:c>
      <x:c r="G524" s="30" t="str">
        <x:v>standard</x:v>
      </x:c>
      <x:c r="H524" s="30" t="str">
        <x:v>year-round</x:v>
      </x:c>
      <x:c r="I5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5">
      <x:c r="A525" s="36" t="str">
        <x:v>mediterranean_europe</x:v>
      </x:c>
      <x:c r="B525" s="30" t="str">
        <x:v>mediterranean-europe-broad-draft-1</x:v>
      </x:c>
      <x:c r="C525" s="30" t="n">
        <x:v>1424711</x:v>
      </x:c>
      <x:c r="D525" s="32" t="str">
        <x:v>Sling-tailed Agama</x:v>
      </x:c>
      <x:c r="E525" s="32" t="str">
        <x:v>Laudakia cypriaca</x:v>
      </x:c>
      <x:c r="F525" s="30" t="str">
        <x:v>common</x:v>
      </x:c>
      <x:c r="G525" s="30" t="str">
        <x:v>standard</x:v>
      </x:c>
      <x:c r="H525" s="30" t="str">
        <x:v>year-round</x:v>
      </x:c>
      <x:c r="I5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6">
      <x:c r="A526" s="36" t="str">
        <x:v>mediterranean_europe</x:v>
      </x:c>
      <x:c r="B526" s="30" t="str">
        <x:v>mediterranean-europe-broad-draft-1</x:v>
      </x:c>
      <x:c r="C526" s="30" t="n">
        <x:v>35430</x:v>
      </x:c>
      <x:c r="D526" s="32" t="str">
        <x:v>Spiny-footed Lizard</x:v>
      </x:c>
      <x:c r="E526" s="32" t="str">
        <x:v>Acanthodactylus erythrurus</x:v>
      </x:c>
      <x:c r="F526" s="30" t="str">
        <x:v>common</x:v>
      </x:c>
      <x:c r="G526" s="30" t="str">
        <x:v>standard</x:v>
      </x:c>
      <x:c r="H526" s="30" t="str">
        <x:v>year-round</x:v>
      </x:c>
      <x:c r="I5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7">
      <x:c r="A527" s="36" t="str">
        <x:v>mediterranean_europe</x:v>
      </x:c>
      <x:c r="B527" s="30" t="str">
        <x:v>mediterranean-europe-broad-draft-1</x:v>
      </x:c>
      <x:c r="C527" s="30" t="n">
        <x:v>35964</x:v>
      </x:c>
      <x:c r="D527" s="32" t="str">
        <x:v>Iberian Rock Lizard</x:v>
      </x:c>
      <x:c r="E527" s="32" t="str">
        <x:v>Iberolacerta monticola</x:v>
      </x:c>
      <x:c r="F527" s="30" t="str">
        <x:v>common</x:v>
      </x:c>
      <x:c r="G527" s="30" t="str">
        <x:v>standard</x:v>
      </x:c>
      <x:c r="H527" s="30" t="str">
        <x:v>year-round</x:v>
      </x:c>
      <x:c r="I5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8">
      <x:c r="A528" s="36" t="str">
        <x:v>mediterranean_europe</x:v>
      </x:c>
      <x:c r="B528" s="30" t="str">
        <x:v>mediterranean-europe-broad-draft-1</x:v>
      </x:c>
      <x:c r="C528" s="30" t="n">
        <x:v>35990</x:v>
      </x:c>
      <x:c r="D528" s="32" t="str">
        <x:v>Gran Canaria Giant Lizard</x:v>
      </x:c>
      <x:c r="E528" s="32" t="str">
        <x:v>Gallotia stehlini</x:v>
      </x:c>
      <x:c r="F528" s="30" t="str">
        <x:v>common</x:v>
      </x:c>
      <x:c r="G528" s="30" t="str">
        <x:v>standard</x:v>
      </x:c>
      <x:c r="H528" s="30" t="str">
        <x:v>year-round</x:v>
      </x:c>
      <x:c r="I5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29">
      <x:c r="A529" s="36" t="str">
        <x:v>mediterranean_europe</x:v>
      </x:c>
      <x:c r="B529" s="30" t="str">
        <x:v>mediterranean-europe-broad-draft-1</x:v>
      </x:c>
      <x:c r="C529" s="30" t="n">
        <x:v>35530</x:v>
      </x:c>
      <x:c r="D529" s="32" t="str">
        <x:v>Tyrrhenian Wall Lizard</x:v>
      </x:c>
      <x:c r="E529" s="32" t="str">
        <x:v>Podarcis tiliguerta</x:v>
      </x:c>
      <x:c r="F529" s="30" t="str">
        <x:v>common</x:v>
      </x:c>
      <x:c r="G529" s="30" t="str">
        <x:v>standard</x:v>
      </x:c>
      <x:c r="H529" s="30" t="str">
        <x:v>year-round</x:v>
      </x:c>
      <x:c r="I5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0">
      <x:c r="A530" s="36" t="str">
        <x:v>mediterranean_europe</x:v>
      </x:c>
      <x:c r="B530" s="30" t="str">
        <x:v>mediterranean-europe-broad-draft-1</x:v>
      </x:c>
      <x:c r="C530" s="30" t="n">
        <x:v>35677</x:v>
      </x:c>
      <x:c r="D530" s="32" t="str">
        <x:v>Erhard's Wall Lizard</x:v>
      </x:c>
      <x:c r="E530" s="32" t="str">
        <x:v>Podarcis erhardii</x:v>
      </x:c>
      <x:c r="F530" s="30" t="str">
        <x:v>common</x:v>
      </x:c>
      <x:c r="G530" s="30" t="str">
        <x:v>standard</x:v>
      </x:c>
      <x:c r="H530" s="30" t="str">
        <x:v>year-round</x:v>
      </x:c>
      <x:c r="I5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1">
      <x:c r="A531" s="36" t="str">
        <x:v>mediterranean_europe</x:v>
      </x:c>
      <x:c r="B531" s="30" t="str">
        <x:v>mediterranean-europe-broad-draft-1</x:v>
      </x:c>
      <x:c r="C531" s="30" t="n">
        <x:v>30237</x:v>
      </x:c>
      <x:c r="D531" s="32" t="str">
        <x:v>Four-lined Snake</x:v>
      </x:c>
      <x:c r="E531" s="32" t="str">
        <x:v>Elaphe quatuorlineata</x:v>
      </x:c>
      <x:c r="F531" s="30" t="str">
        <x:v>common</x:v>
      </x:c>
      <x:c r="G531" s="30" t="str">
        <x:v>standard</x:v>
      </x:c>
      <x:c r="H531" s="30" t="str">
        <x:v>year-round</x:v>
      </x:c>
      <x:c r="I5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2">
      <x:c r="A532" s="36" t="str">
        <x:v>mediterranean_europe</x:v>
      </x:c>
      <x:c r="B532" s="30" t="str">
        <x:v>mediterranean-europe-broad-draft-1</x:v>
      </x:c>
      <x:c r="C532" s="30" t="n">
        <x:v>966698</x:v>
      </x:c>
      <x:c r="D532" s="32" t="str">
        <x:v>Adder</x:v>
      </x:c>
      <x:c r="E532" s="32" t="str">
        <x:v>Vipera berus</x:v>
      </x:c>
      <x:c r="F532" s="30" t="str">
        <x:v>common</x:v>
      </x:c>
      <x:c r="G532" s="30" t="str">
        <x:v>standard</x:v>
      </x:c>
      <x:c r="H532" s="30" t="str">
        <x:v>year-round</x:v>
      </x:c>
      <x:c r="I5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3">
      <x:c r="A533" s="36" t="str">
        <x:v>mediterranean_europe</x:v>
      </x:c>
      <x:c r="B533" s="30" t="str">
        <x:v>mediterranean-europe-broad-draft-1</x:v>
      </x:c>
      <x:c r="C533" s="30" t="n">
        <x:v>105329</x:v>
      </x:c>
      <x:c r="D533" s="32" t="str">
        <x:v>Western Caspian Turtle</x:v>
      </x:c>
      <x:c r="E533" s="32" t="str">
        <x:v>Mauremys rivulata</x:v>
      </x:c>
      <x:c r="F533" s="30" t="str">
        <x:v>common</x:v>
      </x:c>
      <x:c r="G533" s="30" t="str">
        <x:v>standard</x:v>
      </x:c>
      <x:c r="H533" s="30" t="str">
        <x:v>year-round</x:v>
      </x:c>
      <x:c r="I5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4">
      <x:c r="A534" s="36" t="str">
        <x:v>mediterranean_europe</x:v>
      </x:c>
      <x:c r="B534" s="30" t="str">
        <x:v>mediterranean-europe-broad-draft-1</x:v>
      </x:c>
      <x:c r="C534" s="30" t="n">
        <x:v>32864</x:v>
      </x:c>
      <x:c r="D534" s="32" t="str">
        <x:v>Common Chameleon</x:v>
      </x:c>
      <x:c r="E534" s="32" t="str">
        <x:v>Chamaeleo chamaeleon</x:v>
      </x:c>
      <x:c r="F534" s="30" t="str">
        <x:v>common</x:v>
      </x:c>
      <x:c r="G534" s="30" t="str">
        <x:v>standard</x:v>
      </x:c>
      <x:c r="H534" s="30" t="str">
        <x:v>year-round</x:v>
      </x:c>
      <x:c r="I5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5">
      <x:c r="A535" s="36" t="str">
        <x:v>mediterranean_europe</x:v>
      </x:c>
      <x:c r="B535" s="30" t="str">
        <x:v>mediterranean-europe-broad-draft-1</x:v>
      </x:c>
      <x:c r="C535" s="30" t="n">
        <x:v>73966</x:v>
      </x:c>
      <x:c r="D535" s="32" t="str">
        <x:v>Tenerife Wall Gecko</x:v>
      </x:c>
      <x:c r="E535" s="32" t="str">
        <x:v>Tarentola delalandii</x:v>
      </x:c>
      <x:c r="F535" s="30" t="str">
        <x:v>common</x:v>
      </x:c>
      <x:c r="G535" s="30" t="str">
        <x:v>standard</x:v>
      </x:c>
      <x:c r="H535" s="30" t="str">
        <x:v>year-round</x:v>
      </x:c>
      <x:c r="I5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6">
      <x:c r="A536" s="36" t="str">
        <x:v>mediterranean_europe</x:v>
      </x:c>
      <x:c r="B536" s="30" t="str">
        <x:v>mediterranean-europe-broad-draft-1</x:v>
      </x:c>
      <x:c r="C536" s="30" t="n">
        <x:v>37213</x:v>
      </x:c>
      <x:c r="D536" s="32" t="str">
        <x:v>Western Three-toed Skink</x:v>
      </x:c>
      <x:c r="E536" s="32" t="str">
        <x:v>Chalcides striatus</x:v>
      </x:c>
      <x:c r="F536" s="30" t="str">
        <x:v>common</x:v>
      </x:c>
      <x:c r="G536" s="30" t="str">
        <x:v>standard</x:v>
      </x:c>
      <x:c r="H536" s="30" t="str">
        <x:v>year-round</x:v>
      </x:c>
      <x:c r="I5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7">
      <x:c r="A537" s="36" t="str">
        <x:v>mediterranean_europe</x:v>
      </x:c>
      <x:c r="B537" s="30" t="str">
        <x:v>mediterranean-europe-broad-draft-1</x:v>
      </x:c>
      <x:c r="C537" s="30" t="n">
        <x:v>29917</x:v>
      </x:c>
      <x:c r="D537" s="32" t="str">
        <x:v>Balkan Whip Snake</x:v>
      </x:c>
      <x:c r="E537" s="32" t="str">
        <x:v>Hierophis gemonensis</x:v>
      </x:c>
      <x:c r="F537" s="30" t="str">
        <x:v>common</x:v>
      </x:c>
      <x:c r="G537" s="30" t="str">
        <x:v>standard</x:v>
      </x:c>
      <x:c r="H537" s="30" t="str">
        <x:v>year-round</x:v>
      </x:c>
      <x:c r="I5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8">
      <x:c r="A538" s="36" t="str">
        <x:v>mediterranean_europe</x:v>
      </x:c>
      <x:c r="B538" s="30" t="str">
        <x:v>mediterranean-europe-broad-draft-1</x:v>
      </x:c>
      <x:c r="C538" s="30" t="n">
        <x:v>53645</x:v>
      </x:c>
      <x:c r="D538" s="32" t="str">
        <x:v>Ocellated Bronze Skink</x:v>
      </x:c>
      <x:c r="E538" s="32" t="str">
        <x:v>Chalcides ocellatus</x:v>
      </x:c>
      <x:c r="F538" s="30" t="str">
        <x:v>common</x:v>
      </x:c>
      <x:c r="G538" s="30" t="str">
        <x:v>standard</x:v>
      </x:c>
      <x:c r="H538" s="30" t="str">
        <x:v>year-round</x:v>
      </x:c>
      <x:c r="I5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39">
      <x:c r="A539" s="36" t="str">
        <x:v>mediterranean_europe</x:v>
      </x:c>
      <x:c r="B539" s="30" t="str">
        <x:v>mediterranean-europe-broad-draft-1</x:v>
      </x:c>
      <x:c r="C539" s="30" t="n">
        <x:v>30917</x:v>
      </x:c>
      <x:c r="D539" s="32" t="str">
        <x:v>Seoane's Viper</x:v>
      </x:c>
      <x:c r="E539" s="32" t="str">
        <x:v>Vipera seoanei</x:v>
      </x:c>
      <x:c r="F539" s="30" t="str">
        <x:v>common</x:v>
      </x:c>
      <x:c r="G539" s="30" t="str">
        <x:v>standard</x:v>
      </x:c>
      <x:c r="H539" s="30" t="str">
        <x:v>year-round</x:v>
      </x:c>
      <x:c r="I5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0">
      <x:c r="A540" s="36" t="str">
        <x:v>mediterranean_europe</x:v>
      </x:c>
      <x:c r="B540" s="30" t="str">
        <x:v>mediterranean-europe-broad-draft-1</x:v>
      </x:c>
      <x:c r="C540" s="30" t="n">
        <x:v>40023</x:v>
      </x:c>
      <x:c r="D540" s="32" t="str">
        <x:v>Greek Tortoise</x:v>
      </x:c>
      <x:c r="E540" s="32" t="str">
        <x:v>Testudo graeca</x:v>
      </x:c>
      <x:c r="F540" s="30" t="str">
        <x:v>common</x:v>
      </x:c>
      <x:c r="G540" s="30" t="str">
        <x:v>standard</x:v>
      </x:c>
      <x:c r="H540" s="30" t="str">
        <x:v>year-round</x:v>
      </x:c>
      <x:c r="I5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1">
      <x:c r="A541" s="36" t="str">
        <x:v>mediterranean_europe</x:v>
      </x:c>
      <x:c r="B541" s="30" t="str">
        <x:v>mediterranean-europe-broad-draft-1</x:v>
      </x:c>
      <x:c r="C541" s="30" t="n">
        <x:v>73747</x:v>
      </x:c>
      <x:c r="D541" s="32" t="str">
        <x:v>Sharp-snouted Rock Lizard</x:v>
      </x:c>
      <x:c r="E541" s="32" t="str">
        <x:v>Dalmatolacerta oxycephala</x:v>
      </x:c>
      <x:c r="F541" s="30" t="str">
        <x:v>common</x:v>
      </x:c>
      <x:c r="G541" s="30" t="str">
        <x:v>standard</x:v>
      </x:c>
      <x:c r="H541" s="30" t="str">
        <x:v>year-round</x:v>
      </x:c>
      <x:c r="I5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2">
      <x:c r="A542" s="36" t="str">
        <x:v>mediterranean_europe</x:v>
      </x:c>
      <x:c r="B542" s="30" t="str">
        <x:v>mediterranean-europe-broad-draft-1</x:v>
      </x:c>
      <x:c r="C542" s="30" t="n">
        <x:v>35760</x:v>
      </x:c>
      <x:c r="D542" s="32" t="str">
        <x:v>Snake-eyed Lizard</x:v>
      </x:c>
      <x:c r="E542" s="32" t="str">
        <x:v>Ophisops elegans</x:v>
      </x:c>
      <x:c r="F542" s="30" t="str">
        <x:v>common</x:v>
      </x:c>
      <x:c r="G542" s="30" t="str">
        <x:v>standard</x:v>
      </x:c>
      <x:c r="H542" s="30" t="str">
        <x:v>year-round</x:v>
      </x:c>
      <x:c r="I5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3">
      <x:c r="A543" s="36" t="str">
        <x:v>mediterranean_europe</x:v>
      </x:c>
      <x:c r="B543" s="30" t="str">
        <x:v>mediterranean-europe-broad-draft-1</x:v>
      </x:c>
      <x:c r="C543" s="30" t="n">
        <x:v>35671</x:v>
      </x:c>
      <x:c r="D543" s="32" t="str">
        <x:v>Filfola Lizard</x:v>
      </x:c>
      <x:c r="E543" s="32" t="str">
        <x:v>Podarcis filfolensis</x:v>
      </x:c>
      <x:c r="F543" s="30" t="str">
        <x:v>common</x:v>
      </x:c>
      <x:c r="G543" s="30" t="str">
        <x:v>standard</x:v>
      </x:c>
      <x:c r="H543" s="30" t="str">
        <x:v>year-round</x:v>
      </x:c>
      <x:c r="I5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4">
      <x:c r="A544" s="36" t="str">
        <x:v>mediterranean_europe</x:v>
      </x:c>
      <x:c r="B544" s="30" t="str">
        <x:v>mediterranean-europe-broad-draft-1</x:v>
      </x:c>
      <x:c r="C544" s="30" t="n">
        <x:v>73918</x:v>
      </x:c>
      <x:c r="D544" s="32" t="str">
        <x:v>Peloponnese Wall Lizard</x:v>
      </x:c>
      <x:c r="E544" s="32" t="str">
        <x:v>Podarcis peloponnesiacus</x:v>
      </x:c>
      <x:c r="F544" s="30" t="str">
        <x:v>common</x:v>
      </x:c>
      <x:c r="G544" s="30" t="str">
        <x:v>standard</x:v>
      </x:c>
      <x:c r="H544" s="30" t="str">
        <x:v>year-round</x:v>
      </x:c>
      <x:c r="I5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5">
      <x:c r="A545" s="36" t="str">
        <x:v>mediterranean_europe</x:v>
      </x:c>
      <x:c r="B545" s="30" t="str">
        <x:v>mediterranean-europe-broad-draft-1</x:v>
      </x:c>
      <x:c r="C545" s="30" t="n">
        <x:v>1670480</x:v>
      </x:c>
      <x:c r="D545" s="32" t="str">
        <x:v>Central Iberian Worm Lizard</x:v>
      </x:c>
      <x:c r="E545" s="32" t="str">
        <x:v>Blanus oxyurus</x:v>
      </x:c>
      <x:c r="F545" s="30" t="str">
        <x:v>common</x:v>
      </x:c>
      <x:c r="G545" s="30" t="str">
        <x:v>standard</x:v>
      </x:c>
      <x:c r="H545" s="30" t="str">
        <x:v>year-round</x:v>
      </x:c>
      <x:c r="I5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6">
      <x:c r="A546" s="36" t="str">
        <x:v>mediterranean_europe</x:v>
      </x:c>
      <x:c r="B546" s="30" t="str">
        <x:v>mediterranean-europe-broad-draft-1</x:v>
      </x:c>
      <x:c r="C546" s="30" t="n">
        <x:v>73702</x:v>
      </x:c>
      <x:c r="D546" s="32" t="str">
        <x:v>Southwest Iberian Worm Lizard</x:v>
      </x:c>
      <x:c r="E546" s="32" t="str">
        <x:v>Blanus cinereus</x:v>
      </x:c>
      <x:c r="F546" s="30" t="str">
        <x:v>common</x:v>
      </x:c>
      <x:c r="G546" s="30" t="str">
        <x:v>standard</x:v>
      </x:c>
      <x:c r="H546" s="30" t="str">
        <x:v>year-round</x:v>
      </x:c>
      <x:c r="I5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7">
      <x:c r="A547" s="36" t="str">
        <x:v>mediterranean_europe</x:v>
      </x:c>
      <x:c r="B547" s="30" t="str">
        <x:v>mediterranean-europe-broad-draft-1</x:v>
      </x:c>
      <x:c r="C547" s="30" t="n">
        <x:v>1701177</x:v>
      </x:c>
      <x:c r="D547" s="32" t="str">
        <x:v>Long-nosed Viper</x:v>
      </x:c>
      <x:c r="E547" s="32" t="str">
        <x:v>Vipera ammodytes</x:v>
      </x:c>
      <x:c r="F547" s="30" t="str">
        <x:v>common</x:v>
      </x:c>
      <x:c r="G547" s="30" t="str">
        <x:v>standard</x:v>
      </x:c>
      <x:c r="H547" s="30" t="str">
        <x:v>year-round</x:v>
      </x:c>
      <x:c r="I5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8">
      <x:c r="A548" s="36" t="str">
        <x:v>mediterranean_europe</x:v>
      </x:c>
      <x:c r="B548" s="30" t="str">
        <x:v>mediterranean-europe-broad-draft-1</x:v>
      </x:c>
      <x:c r="C548" s="30" t="n">
        <x:v>29450</x:v>
      </x:c>
      <x:c r="D548" s="32" t="str">
        <x:v>Eastern Montpellier Snake</x:v>
      </x:c>
      <x:c r="E548" s="32" t="str">
        <x:v>Malpolon insignitus</x:v>
      </x:c>
      <x:c r="F548" s="30" t="str">
        <x:v>uncommon</x:v>
      </x:c>
      <x:c r="G548" s="30" t="str">
        <x:v>standard</x:v>
      </x:c>
      <x:c r="H548" s="30" t="str">
        <x:v>year-round</x:v>
      </x:c>
      <x:c r="I5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49">
      <x:c r="A549" s="36" t="str">
        <x:v>mediterranean_europe</x:v>
      </x:c>
      <x:c r="B549" s="30" t="str">
        <x:v>mediterranean-europe-broad-draft-1</x:v>
      </x:c>
      <x:c r="C549" s="30" t="n">
        <x:v>35597</x:v>
      </x:c>
      <x:c r="D549" s="32" t="str">
        <x:v>Ibiza Wall Lizard</x:v>
      </x:c>
      <x:c r="E549" s="32" t="str">
        <x:v>Podarcis pityusensis</x:v>
      </x:c>
      <x:c r="F549" s="30" t="str">
        <x:v>uncommon</x:v>
      </x:c>
      <x:c r="G549" s="30" t="str">
        <x:v>standard</x:v>
      </x:c>
      <x:c r="H549" s="30" t="str">
        <x:v>year-round</x:v>
      </x:c>
      <x:c r="I5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0">
      <x:c r="A550" s="36" t="str">
        <x:v>mediterranean_europe</x:v>
      </x:c>
      <x:c r="B550" s="30" t="str">
        <x:v>mediterranean-europe-broad-draft-1</x:v>
      </x:c>
      <x:c r="C550" s="30" t="n">
        <x:v>1127992</x:v>
      </x:c>
      <x:c r="D550" s="32" t="str">
        <x:v>Ionian Wall Lizard</x:v>
      </x:c>
      <x:c r="E550" s="32" t="str">
        <x:v>Podarcis ionicus</x:v>
      </x:c>
      <x:c r="F550" s="30" t="str">
        <x:v>uncommon</x:v>
      </x:c>
      <x:c r="G550" s="30" t="str">
        <x:v>standard</x:v>
      </x:c>
      <x:c r="H550" s="30" t="str">
        <x:v>year-round</x:v>
      </x:c>
      <x:c r="I5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1">
      <x:c r="A551" s="36" t="str">
        <x:v>mediterranean_europe</x:v>
      </x:c>
      <x:c r="B551" s="30" t="str">
        <x:v>mediterranean-europe-broad-draft-1</x:v>
      </x:c>
      <x:c r="C551" s="30" t="n">
        <x:v>37239</x:v>
      </x:c>
      <x:c r="D551" s="32" t="str">
        <x:v>Bedriaga's Skink</x:v>
      </x:c>
      <x:c r="E551" s="32" t="str">
        <x:v>Chalcides bedriagai</x:v>
      </x:c>
      <x:c r="F551" s="30" t="str">
        <x:v>uncommon</x:v>
      </x:c>
      <x:c r="G551" s="30" t="str">
        <x:v>standard</x:v>
      </x:c>
      <x:c r="H551" s="30" t="str">
        <x:v>year-round</x:v>
      </x:c>
      <x:c r="I5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2">
      <x:c r="A552" s="36" t="str">
        <x:v>mediterranean_europe</x:v>
      </x:c>
      <x:c r="B552" s="30" t="str">
        <x:v>mediterranean-europe-broad-draft-1</x:v>
      </x:c>
      <x:c r="C552" s="30" t="n">
        <x:v>35700</x:v>
      </x:c>
      <x:c r="D552" s="32" t="str">
        <x:v>Cretan Wall Lizard</x:v>
      </x:c>
      <x:c r="E552" s="32" t="str">
        <x:v>Podarcis cretensis</x:v>
      </x:c>
      <x:c r="F552" s="30" t="str">
        <x:v>uncommon</x:v>
      </x:c>
      <x:c r="G552" s="30" t="str">
        <x:v>standard</x:v>
      </x:c>
      <x:c r="H552" s="30" t="str">
        <x:v>year-round</x:v>
      </x:c>
      <x:c r="I5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3">
      <x:c r="A553" s="36" t="str">
        <x:v>mediterranean_europe</x:v>
      </x:c>
      <x:c r="B553" s="30" t="str">
        <x:v>mediterranean-europe-broad-draft-1</x:v>
      </x:c>
      <x:c r="C553" s="30" t="n">
        <x:v>73858</x:v>
      </x:c>
      <x:c r="D553" s="32" t="str">
        <x:v>Iberian False Smooth Snake</x:v>
      </x:c>
      <x:c r="E553" s="32" t="str">
        <x:v>Macroprotodon brevis</x:v>
      </x:c>
      <x:c r="F553" s="30" t="str">
        <x:v>uncommon</x:v>
      </x:c>
      <x:c r="G553" s="30" t="str">
        <x:v>standard</x:v>
      </x:c>
      <x:c r="H553" s="30" t="str">
        <x:v>year-round</x:v>
      </x:c>
      <x:c r="I5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4">
      <x:c r="A554" s="36" t="str">
        <x:v>mediterranean_europe</x:v>
      </x:c>
      <x:c r="B554" s="30" t="str">
        <x:v>mediterranean-europe-broad-draft-1</x:v>
      </x:c>
      <x:c r="C554" s="30" t="n">
        <x:v>53646</x:v>
      </x:c>
      <x:c r="D554" s="32" t="str">
        <x:v>Italian Three-toed Skink</x:v>
      </x:c>
      <x:c r="E554" s="32" t="str">
        <x:v>Chalcides chalcides</x:v>
      </x:c>
      <x:c r="F554" s="30" t="str">
        <x:v>uncommon</x:v>
      </x:c>
      <x:c r="G554" s="30" t="str">
        <x:v>standard</x:v>
      </x:c>
      <x:c r="H554" s="30" t="str">
        <x:v>year-round</x:v>
      </x:c>
      <x:c r="I5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5">
      <x:c r="A555" s="36" t="str">
        <x:v>mediterranean_europe</x:v>
      </x:c>
      <x:c r="B555" s="30" t="str">
        <x:v>mediterranean-europe-broad-draft-1</x:v>
      </x:c>
      <x:c r="C555" s="30" t="n">
        <x:v>64078</x:v>
      </x:c>
      <x:c r="D555" s="32" t="str">
        <x:v>Cat Snake</x:v>
      </x:c>
      <x:c r="E555" s="32" t="str">
        <x:v>Telescopus fallax</x:v>
      </x:c>
      <x:c r="F555" s="30" t="str">
        <x:v>uncommon</x:v>
      </x:c>
      <x:c r="G555" s="30" t="str">
        <x:v>standard</x:v>
      </x:c>
      <x:c r="H555" s="30" t="str">
        <x:v>year-round</x:v>
      </x:c>
      <x:c r="I5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6">
      <x:c r="A556" s="36" t="str">
        <x:v>mediterranean_europe</x:v>
      </x:c>
      <x:c r="B556" s="30" t="str">
        <x:v>mediterranean-europe-broad-draft-1</x:v>
      </x:c>
      <x:c r="C556" s="30" t="n">
        <x:v>73585</x:v>
      </x:c>
      <x:c r="D556" s="32" t="str">
        <x:v>European Copper Skink</x:v>
      </x:c>
      <x:c r="E556" s="32" t="str">
        <x:v>Ablepharus kitaibelii</x:v>
      </x:c>
      <x:c r="F556" s="30" t="str">
        <x:v>uncommon</x:v>
      </x:c>
      <x:c r="G556" s="30" t="str">
        <x:v>standard</x:v>
      </x:c>
      <x:c r="H556" s="30" t="str">
        <x:v>year-round</x:v>
      </x:c>
      <x:c r="I5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7">
      <x:c r="A557" s="36" t="str">
        <x:v>mediterranean_europe</x:v>
      </x:c>
      <x:c r="B557" s="30" t="str">
        <x:v>mediterranean-europe-broad-draft-1</x:v>
      </x:c>
      <x:c r="C557" s="30" t="n">
        <x:v>73903</x:v>
      </x:c>
      <x:c r="D557" s="32" t="str">
        <x:v>Troodos Rock Lizard</x:v>
      </x:c>
      <x:c r="E557" s="32" t="str">
        <x:v>Phoenicolacerta troodica</x:v>
      </x:c>
      <x:c r="F557" s="30" t="str">
        <x:v>uncommon</x:v>
      </x:c>
      <x:c r="G557" s="30" t="str">
        <x:v>standard</x:v>
      </x:c>
      <x:c r="H557" s="30" t="str">
        <x:v>year-round</x:v>
      </x:c>
      <x:c r="I5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8">
      <x:c r="A558" s="36" t="str">
        <x:v>mediterranean_europe</x:v>
      </x:c>
      <x:c r="B558" s="30" t="str">
        <x:v>mediterranean-europe-broad-draft-1</x:v>
      </x:c>
      <x:c r="C558" s="30" t="n">
        <x:v>540247</x:v>
      </x:c>
      <x:c r="D558" s="32" t="str">
        <x:v>Sierra Nevada Ocellated Lizard</x:v>
      </x:c>
      <x:c r="E558" s="32" t="str">
        <x:v>Timon nevadensis</x:v>
      </x:c>
      <x:c r="F558" s="30" t="str">
        <x:v>uncommon</x:v>
      </x:c>
      <x:c r="G558" s="30" t="str">
        <x:v>standard</x:v>
      </x:c>
      <x:c r="H558" s="30" t="str">
        <x:v>year-round</x:v>
      </x:c>
      <x:c r="I5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59">
      <x:c r="A559" s="36" t="str">
        <x:v>mediterranean_europe</x:v>
      </x:c>
      <x:c r="B559" s="30" t="str">
        <x:v>mediterranean-europe-broad-draft-1</x:v>
      </x:c>
      <x:c r="C559" s="30" t="n">
        <x:v>1701178</x:v>
      </x:c>
      <x:c r="D559" s="32" t="str">
        <x:v>Vipera meridionalis</x:v>
      </x:c>
      <x:c r="E559" s="32" t="str">
        <x:v>Vipera meridionalis</x:v>
      </x:c>
      <x:c r="F559" s="30" t="str">
        <x:v>uncommon</x:v>
      </x:c>
      <x:c r="G559" s="30" t="str">
        <x:v>standard</x:v>
      </x:c>
      <x:c r="H559" s="30" t="str">
        <x:v>year-round</x:v>
      </x:c>
      <x:c r="I5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0">
      <x:c r="A560" s="36" t="str">
        <x:v>mediterranean_europe</x:v>
      </x:c>
      <x:c r="B560" s="30" t="str">
        <x:v>mediterranean-europe-broad-draft-1</x:v>
      </x:c>
      <x:c r="C560" s="30" t="n">
        <x:v>74011</x:v>
      </x:c>
      <x:c r="D560" s="32" t="str">
        <x:v>European Ratsnake</x:v>
      </x:c>
      <x:c r="E560" s="32" t="str">
        <x:v>Zamenis situla</x:v>
      </x:c>
      <x:c r="F560" s="30" t="str">
        <x:v>uncommon</x:v>
      </x:c>
      <x:c r="G560" s="30" t="str">
        <x:v>standard</x:v>
      </x:c>
      <x:c r="H560" s="30" t="str">
        <x:v>year-round</x:v>
      </x:c>
      <x:c r="I5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1">
      <x:c r="A561" s="36" t="str">
        <x:v>mediterranean_europe</x:v>
      </x:c>
      <x:c r="B561" s="30" t="str">
        <x:v>mediterranean-europe-broad-draft-1</x:v>
      </x:c>
      <x:c r="C561" s="30" t="n">
        <x:v>35413</x:v>
      </x:c>
      <x:c r="D561" s="32" t="str">
        <x:v>Schreiber's Fringe-fingered Lizard</x:v>
      </x:c>
      <x:c r="E561" s="32" t="str">
        <x:v>Acanthodactylus schreiberi</x:v>
      </x:c>
      <x:c r="F561" s="30" t="str">
        <x:v>uncommon</x:v>
      </x:c>
      <x:c r="G561" s="30" t="str">
        <x:v>standard</x:v>
      </x:c>
      <x:c r="H561" s="30" t="str">
        <x:v>year-round</x:v>
      </x:c>
      <x:c r="I5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2">
      <x:c r="A562" s="36" t="str">
        <x:v>mediterranean_europe</x:v>
      </x:c>
      <x:c r="B562" s="30" t="str">
        <x:v>mediterranean-europe-broad-draft-1</x:v>
      </x:c>
      <x:c r="C562" s="30" t="n">
        <x:v>35453</x:v>
      </x:c>
      <x:c r="D562" s="32" t="str">
        <x:v>Viviparous Lizard</x:v>
      </x:c>
      <x:c r="E562" s="32" t="str">
        <x:v>Zootoca vivipara</x:v>
      </x:c>
      <x:c r="F562" s="30" t="str">
        <x:v>uncommon</x:v>
      </x:c>
      <x:c r="G562" s="30" t="str">
        <x:v>standard</x:v>
      </x:c>
      <x:c r="H562" s="30" t="str">
        <x:v>year-round</x:v>
      </x:c>
      <x:c r="I5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3">
      <x:c r="A563" s="36" t="str">
        <x:v>mediterranean_europe</x:v>
      </x:c>
      <x:c r="B563" s="30" t="str">
        <x:v>mediterranean-europe-broad-draft-1</x:v>
      </x:c>
      <x:c r="C563" s="30" t="n">
        <x:v>73829</x:v>
      </x:c>
      <x:c r="D563" s="32" t="str">
        <x:v>Cyren’s Rock Lizard</x:v>
      </x:c>
      <x:c r="E563" s="32" t="str">
        <x:v>Iberolacerta cyreni</x:v>
      </x:c>
      <x:c r="F563" s="30" t="str">
        <x:v>uncommon</x:v>
      </x:c>
      <x:c r="G563" s="30" t="str">
        <x:v>standard</x:v>
      </x:c>
      <x:c r="H563" s="30" t="str">
        <x:v>year-round</x:v>
      </x:c>
      <x:c r="I5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4">
      <x:c r="A564" s="36" t="str">
        <x:v>mediterranean_europe</x:v>
      </x:c>
      <x:c r="B564" s="30" t="str">
        <x:v>mediterranean-europe-broad-draft-1</x:v>
      </x:c>
      <x:c r="C564" s="30" t="n">
        <x:v>36055</x:v>
      </x:c>
      <x:c r="D564" s="32" t="str">
        <x:v>Greek Algyroides</x:v>
      </x:c>
      <x:c r="E564" s="32" t="str">
        <x:v>Algyroides moreoticus</x:v>
      </x:c>
      <x:c r="F564" s="30" t="str">
        <x:v>uncommon</x:v>
      </x:c>
      <x:c r="G564" s="30" t="str">
        <x:v>standard</x:v>
      </x:c>
      <x:c r="H564" s="30" t="str">
        <x:v>year-round</x:v>
      </x:c>
      <x:c r="I5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5">
      <x:c r="A565" s="36" t="str">
        <x:v>mediterranean_europe</x:v>
      </x:c>
      <x:c r="B565" s="30" t="str">
        <x:v>mediterranean-europe-broad-draft-1</x:v>
      </x:c>
      <x:c r="C565" s="30" t="n">
        <x:v>33622</x:v>
      </x:c>
      <x:c r="D565" s="32" t="str">
        <x:v>East Canary Wall Gecko</x:v>
      </x:c>
      <x:c r="E565" s="32" t="str">
        <x:v>Tarentola angustimentalis</x:v>
      </x:c>
      <x:c r="F565" s="30" t="str">
        <x:v>uncommon</x:v>
      </x:c>
      <x:c r="G565" s="30" t="str">
        <x:v>standard</x:v>
      </x:c>
      <x:c r="H565" s="30" t="str">
        <x:v>year-round</x:v>
      </x:c>
      <x:c r="I5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6">
      <x:c r="A566" s="36" t="str">
        <x:v>mediterranean_europe</x:v>
      </x:c>
      <x:c r="B566" s="30" t="str">
        <x:v>mediterranean-europe-broad-draft-1</x:v>
      </x:c>
      <x:c r="C566" s="30" t="n">
        <x:v>738119</x:v>
      </x:c>
      <x:c r="D566" s="32" t="str">
        <x:v>Eastern Mediterranean Thin-toed Gecko</x:v>
      </x:c>
      <x:c r="E566" s="32" t="str">
        <x:v>Mediodactylus orientalis</x:v>
      </x:c>
      <x:c r="F566" s="30" t="str">
        <x:v>uncommon</x:v>
      </x:c>
      <x:c r="G566" s="30" t="str">
        <x:v>standard</x:v>
      </x:c>
      <x:c r="H566" s="30" t="str">
        <x:v>year-round</x:v>
      </x:c>
      <x:c r="I5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7">
      <x:c r="A567" s="36" t="str">
        <x:v>mediterranean_europe</x:v>
      </x:c>
      <x:c r="B567" s="30" t="str">
        <x:v>mediterranean-europe-broad-draft-1</x:v>
      </x:c>
      <x:c r="C567" s="30" t="n">
        <x:v>144085</x:v>
      </x:c>
      <x:c r="D567" s="32" t="str">
        <x:v>Western Psammodromus</x:v>
      </x:c>
      <x:c r="E567" s="32" t="str">
        <x:v>Psammodromus occidentalis</x:v>
      </x:c>
      <x:c r="F567" s="30" t="str">
        <x:v>uncommon</x:v>
      </x:c>
      <x:c r="G567" s="30" t="str">
        <x:v>standard</x:v>
      </x:c>
      <x:c r="H567" s="30" t="str">
        <x:v>year-round</x:v>
      </x:c>
      <x:c r="I5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8">
      <x:c r="A568" s="36" t="str">
        <x:v>mediterranean_europe</x:v>
      </x:c>
      <x:c r="B568" s="30" t="str">
        <x:v>mediterranean-europe-broad-draft-1</x:v>
      </x:c>
      <x:c r="C568" s="30" t="n">
        <x:v>73910</x:v>
      </x:c>
      <x:c r="D568" s="32" t="str">
        <x:v>Dahl's Whip Snake</x:v>
      </x:c>
      <x:c r="E568" s="32" t="str">
        <x:v>Platyceps najadum</x:v>
      </x:c>
      <x:c r="F568" s="30" t="str">
        <x:v>uncommon</x:v>
      </x:c>
      <x:c r="G568" s="30" t="str">
        <x:v>standard</x:v>
      </x:c>
      <x:c r="H568" s="30" t="str">
        <x:v>year-round</x:v>
      </x:c>
      <x:c r="I5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69">
      <x:c r="A569" s="36" t="str">
        <x:v>mediterranean_europe</x:v>
      </x:c>
      <x:c r="B569" s="30" t="str">
        <x:v>mediterranean-europe-broad-draft-1</x:v>
      </x:c>
      <x:c r="C569" s="30" t="n">
        <x:v>539260</x:v>
      </x:c>
      <x:c r="D569" s="32" t="str">
        <x:v>Pelasgian Rock Lizard</x:v>
      </x:c>
      <x:c r="E569" s="32" t="str">
        <x:v>Anatololacerta pelasgiana</x:v>
      </x:c>
      <x:c r="F569" s="30" t="str">
        <x:v>uncommon</x:v>
      </x:c>
      <x:c r="G569" s="30" t="str">
        <x:v>standard</x:v>
      </x:c>
      <x:c r="H569" s="30" t="str">
        <x:v>year-round</x:v>
      </x:c>
      <x:c r="I5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0">
      <x:c r="A570" s="36" t="str">
        <x:v>mediterranean_europe</x:v>
      </x:c>
      <x:c r="B570" s="30" t="str">
        <x:v>mediterranean-europe-broad-draft-1</x:v>
      </x:c>
      <x:c r="C570" s="30" t="n">
        <x:v>99496</x:v>
      </x:c>
      <x:c r="D570" s="32" t="str">
        <x:v>Caspian Whipsnake</x:v>
      </x:c>
      <x:c r="E570" s="32" t="str">
        <x:v>Dolichophis caspius</x:v>
      </x:c>
      <x:c r="F570" s="30" t="str">
        <x:v>uncommon</x:v>
      </x:c>
      <x:c r="G570" s="30" t="str">
        <x:v>standard</x:v>
      </x:c>
      <x:c r="H570" s="30" t="str">
        <x:v>year-round</x:v>
      </x:c>
      <x:c r="I5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1">
      <x:c r="A571" s="36" t="str">
        <x:v>mediterranean_europe</x:v>
      </x:c>
      <x:c r="B571" s="30" t="str">
        <x:v>mediterranean-europe-broad-draft-1</x:v>
      </x:c>
      <x:c r="C571" s="30" t="n">
        <x:v>30924</x:v>
      </x:c>
      <x:c r="D571" s="32" t="str">
        <x:v>Lataste's Viper</x:v>
      </x:c>
      <x:c r="E571" s="32" t="str">
        <x:v>Vipera latastei</x:v>
      </x:c>
      <x:c r="F571" s="30" t="str">
        <x:v>uncommon</x:v>
      </x:c>
      <x:c r="G571" s="30" t="str">
        <x:v>standard</x:v>
      </x:c>
      <x:c r="H571" s="30" t="str">
        <x:v>year-round</x:v>
      </x:c>
      <x:c r="I5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2">
      <x:c r="A572" s="36" t="str">
        <x:v>mediterranean_europe</x:v>
      </x:c>
      <x:c r="B572" s="30" t="str">
        <x:v>mediterranean-europe-broad-draft-1</x:v>
      </x:c>
      <x:c r="C572" s="30" t="n">
        <x:v>36001</x:v>
      </x:c>
      <x:c r="D572" s="32" t="str">
        <x:v>Atlantic Lizard</x:v>
      </x:c>
      <x:c r="E572" s="32" t="str">
        <x:v>Gallotia atlantica</x:v>
      </x:c>
      <x:c r="F572" s="30" t="str">
        <x:v>uncommon</x:v>
      </x:c>
      <x:c r="G572" s="30" t="str">
        <x:v>standard</x:v>
      </x:c>
      <x:c r="H572" s="30" t="str">
        <x:v>year-round</x:v>
      </x:c>
      <x:c r="I5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3">
      <x:c r="A573" s="36" t="str">
        <x:v>mediterranean_europe</x:v>
      </x:c>
      <x:c r="B573" s="30" t="str">
        <x:v>mediterranean-europe-broad-draft-1</x:v>
      </x:c>
      <x:c r="C573" s="30" t="n">
        <x:v>37210</x:v>
      </x:c>
      <x:c r="D573" s="32" t="str">
        <x:v>West Canary Skink</x:v>
      </x:c>
      <x:c r="E573" s="32" t="str">
        <x:v>Chalcides viridanus</x:v>
      </x:c>
      <x:c r="F573" s="30" t="str">
        <x:v>uncommon</x:v>
      </x:c>
      <x:c r="G573" s="30" t="str">
        <x:v>standard</x:v>
      </x:c>
      <x:c r="H573" s="30" t="str">
        <x:v>year-round</x:v>
      </x:c>
      <x:c r="I5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4">
      <x:c r="A574" s="36" t="str">
        <x:v>mediterranean_europe</x:v>
      </x:c>
      <x:c r="B574" s="30" t="str">
        <x:v>mediterranean-europe-broad-draft-1</x:v>
      </x:c>
      <x:c r="C574" s="30" t="n">
        <x:v>514727</x:v>
      </x:c>
      <x:c r="D574" s="32" t="str">
        <x:v>Eurasian Blind Snake</x:v>
      </x:c>
      <x:c r="E574" s="32" t="str">
        <x:v>Xerotyphlops vermicularis</x:v>
      </x:c>
      <x:c r="F574" s="30" t="str">
        <x:v>uncommon</x:v>
      </x:c>
      <x:c r="G574" s="30" t="str">
        <x:v>standard</x:v>
      </x:c>
      <x:c r="H574" s="30" t="str">
        <x:v>year-round</x:v>
      </x:c>
      <x:c r="I5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5">
      <x:c r="A575" s="36" t="str">
        <x:v>mediterranean_europe</x:v>
      </x:c>
      <x:c r="B575" s="30" t="str">
        <x:v>mediterranean-europe-broad-draft-1</x:v>
      </x:c>
      <x:c r="C575" s="30" t="n">
        <x:v>539261</x:v>
      </x:c>
      <x:c r="D575" s="32" t="str">
        <x:v>Greek Slowworm</x:v>
      </x:c>
      <x:c r="E575" s="32" t="str">
        <x:v>Anguis graeca</x:v>
      </x:c>
      <x:c r="F575" s="30" t="str">
        <x:v>rare</x:v>
      </x:c>
      <x:c r="G575" s="30" t="str">
        <x:v>standard</x:v>
      </x:c>
      <x:c r="H575" s="30" t="str">
        <x:v>year-round</x:v>
      </x:c>
      <x:c r="I5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6">
      <x:c r="A576" s="36" t="str">
        <x:v>mediterranean_europe</x:v>
      </x:c>
      <x:c r="B576" s="30" t="str">
        <x:v>mediterranean-europe-broad-draft-1</x:v>
      </x:c>
      <x:c r="C576" s="30" t="n">
        <x:v>73817</x:v>
      </x:c>
      <x:c r="D576" s="32" t="str">
        <x:v>Greek Rock Lizard</x:v>
      </x:c>
      <x:c r="E576" s="32" t="str">
        <x:v>Hellenolacerta graeca</x:v>
      </x:c>
      <x:c r="F576" s="30" t="str">
        <x:v>uncommon</x:v>
      </x:c>
      <x:c r="G576" s="30" t="str">
        <x:v>standard</x:v>
      </x:c>
      <x:c r="H576" s="30" t="str">
        <x:v>year-round</x:v>
      </x:c>
      <x:c r="I5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7">
      <x:c r="A577" s="36" t="str">
        <x:v>mediterranean_europe</x:v>
      </x:c>
      <x:c r="B577" s="30" t="str">
        <x:v>mediterranean-europe-broad-draft-1</x:v>
      </x:c>
      <x:c r="C577" s="30" t="n">
        <x:v>73922</x:v>
      </x:c>
      <x:c r="D577" s="32" t="str">
        <x:v>Sicilian Wall Lizard</x:v>
      </x:c>
      <x:c r="E577" s="32" t="str">
        <x:v>Podarcis waglerianus</x:v>
      </x:c>
      <x:c r="F577" s="30" t="str">
        <x:v>rare</x:v>
      </x:c>
      <x:c r="G577" s="30" t="str">
        <x:v>standard</x:v>
      </x:c>
      <x:c r="H577" s="30" t="str">
        <x:v>year-round</x:v>
      </x:c>
      <x:c r="I5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8">
      <x:c r="A578" s="36" t="str">
        <x:v>mediterranean_europe</x:v>
      </x:c>
      <x:c r="B578" s="30" t="str">
        <x:v>mediterranean-europe-broad-draft-1</x:v>
      </x:c>
      <x:c r="C578" s="30" t="n">
        <x:v>35707</x:v>
      </x:c>
      <x:c r="D578" s="32" t="str">
        <x:v>Carbonell’s Wall Lizard</x:v>
      </x:c>
      <x:c r="E578" s="32" t="str">
        <x:v>Podarcis carbonelli</x:v>
      </x:c>
      <x:c r="F578" s="30" t="str">
        <x:v>rare</x:v>
      </x:c>
      <x:c r="G578" s="30" t="str">
        <x:v>standard</x:v>
      </x:c>
      <x:c r="H578" s="30" t="str">
        <x:v>year-round</x:v>
      </x:c>
      <x:c r="I5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79">
      <x:c r="A579" s="36" t="str">
        <x:v>mediterranean_europe</x:v>
      </x:c>
      <x:c r="B579" s="30" t="str">
        <x:v>mediterranean-europe-broad-draft-1</x:v>
      </x:c>
      <x:c r="C579" s="30" t="n">
        <x:v>1424723</x:v>
      </x:c>
      <x:c r="D579" s="32" t="str">
        <x:v>Carniolan lizard</x:v>
      </x:c>
      <x:c r="E579" s="32" t="str">
        <x:v>Zootoca carniolica</x:v>
      </x:c>
      <x:c r="F579" s="30" t="str">
        <x:v>rare</x:v>
      </x:c>
      <x:c r="G579" s="30" t="str">
        <x:v>standard</x:v>
      </x:c>
      <x:c r="H579" s="30" t="str">
        <x:v>year-round</x:v>
      </x:c>
      <x:c r="I5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0">
      <x:c r="A580" s="36" t="str">
        <x:v>mediterranean_europe</x:v>
      </x:c>
      <x:c r="B580" s="30" t="str">
        <x:v>mediterranean-europe-broad-draft-1</x:v>
      </x:c>
      <x:c r="C580" s="30" t="n">
        <x:v>424864</x:v>
      </x:c>
      <x:c r="D580" s="32" t="str">
        <x:v>Spanish Wall Lizard</x:v>
      </x:c>
      <x:c r="E580" s="32" t="str">
        <x:v>Podarcis hispanicus</x:v>
      </x:c>
      <x:c r="F580" s="30" t="str">
        <x:v>rare</x:v>
      </x:c>
      <x:c r="G580" s="30" t="str">
        <x:v>standard</x:v>
      </x:c>
      <x:c r="H580" s="30" t="str">
        <x:v>year-round</x:v>
      </x:c>
      <x:c r="I5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1">
      <x:c r="A581" s="36" t="str">
        <x:v>mediterranean_europe</x:v>
      </x:c>
      <x:c r="B581" s="30" t="str">
        <x:v>mediterranean-europe-broad-draft-1</x:v>
      </x:c>
      <x:c r="C581" s="30" t="n">
        <x:v>39659</x:v>
      </x:c>
      <x:c r="D581" s="32" t="str">
        <x:v>Green Sea Turtle</x:v>
      </x:c>
      <x:c r="E581" s="32" t="str">
        <x:v>Chelonia mydas</x:v>
      </x:c>
      <x:c r="F581" s="30" t="str">
        <x:v>rare</x:v>
      </x:c>
      <x:c r="G581" s="30" t="str">
        <x:v>standard</x:v>
      </x:c>
      <x:c r="H581" s="30" t="str">
        <x:v>year-round</x:v>
      </x:c>
      <x:c r="I5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2">
      <x:c r="A582" s="36" t="str">
        <x:v>mediterranean_europe</x:v>
      </x:c>
      <x:c r="B582" s="30" t="str">
        <x:v>mediterranean-europe-broad-draft-1</x:v>
      </x:c>
      <x:c r="C582" s="30" t="n">
        <x:v>35988</x:v>
      </x:c>
      <x:c r="D582" s="32" t="str">
        <x:v>Boettger's Lizard</x:v>
      </x:c>
      <x:c r="E582" s="32" t="str">
        <x:v>Gallotia caesaris</x:v>
      </x:c>
      <x:c r="F582" s="30" t="str">
        <x:v>rare</x:v>
      </x:c>
      <x:c r="G582" s="30" t="str">
        <x:v>standard</x:v>
      </x:c>
      <x:c r="H582" s="30" t="str">
        <x:v>year-round</x:v>
      </x:c>
      <x:c r="I5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3">
      <x:c r="A583" s="36" t="str">
        <x:v>mediterranean_europe</x:v>
      </x:c>
      <x:c r="B583" s="30" t="str">
        <x:v>mediterranean-europe-broad-draft-1</x:v>
      </x:c>
      <x:c r="C583" s="30" t="n">
        <x:v>493904</x:v>
      </x:c>
      <x:c r="D583" s="32" t="str">
        <x:v>East Iberian Psammodromus</x:v>
      </x:c>
      <x:c r="E583" s="32" t="str">
        <x:v>Psammodromus edwarsianus</x:v>
      </x:c>
      <x:c r="F583" s="30" t="str">
        <x:v>rare</x:v>
      </x:c>
      <x:c r="G583" s="30" t="str">
        <x:v>standard</x:v>
      </x:c>
      <x:c r="H583" s="30" t="str">
        <x:v>year-round</x:v>
      </x:c>
      <x:c r="I5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4">
      <x:c r="A584" s="36" t="str">
        <x:v>mediterranean_europe</x:v>
      </x:c>
      <x:c r="B584" s="30" t="str">
        <x:v>mediterranean-europe-broad-draft-1</x:v>
      </x:c>
      <x:c r="C584" s="30" t="n">
        <x:v>100411</x:v>
      </x:c>
      <x:c r="D584" s="32" t="str">
        <x:v>Javelin Sand Boa</x:v>
      </x:c>
      <x:c r="E584" s="32" t="str">
        <x:v>Eryx jaculus</x:v>
      </x:c>
      <x:c r="F584" s="30" t="str">
        <x:v>rare</x:v>
      </x:c>
      <x:c r="G584" s="30" t="str">
        <x:v>standard</x:v>
      </x:c>
      <x:c r="H584" s="30" t="str">
        <x:v>year-round</x:v>
      </x:c>
      <x:c r="I5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5">
      <x:c r="A585" s="36" t="str">
        <x:v>mediterranean_europe</x:v>
      </x:c>
      <x:c r="B585" s="30" t="str">
        <x:v>mediterranean-europe-broad-draft-1</x:v>
      </x:c>
      <x:c r="C585" s="30" t="n">
        <x:v>33619</x:v>
      </x:c>
      <x:c r="D585" s="32" t="str">
        <x:v>Boettger's Wall Gecko</x:v>
      </x:c>
      <x:c r="E585" s="32" t="str">
        <x:v>Tarentola boettgeri</x:v>
      </x:c>
      <x:c r="F585" s="30" t="str">
        <x:v>rare</x:v>
      </x:c>
      <x:c r="G585" s="30" t="str">
        <x:v>standard</x:v>
      </x:c>
      <x:c r="H585" s="30" t="str">
        <x:v>year-round</x:v>
      </x:c>
      <x:c r="I5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6">
      <x:c r="A586" s="36" t="str">
        <x:v>mediterranean_europe</x:v>
      </x:c>
      <x:c r="B586" s="30" t="str">
        <x:v>mediterranean-europe-broad-draft-1</x:v>
      </x:c>
      <x:c r="C586" s="30" t="n">
        <x:v>1629340</x:v>
      </x:c>
      <x:c r="D586" s="32" t="str">
        <x:v>Eastern Peloponnese Wall Lizard</x:v>
      </x:c>
      <x:c r="E586" s="32" t="str">
        <x:v>Podarcis thais</x:v>
      </x:c>
      <x:c r="F586" s="30" t="str">
        <x:v>rare</x:v>
      </x:c>
      <x:c r="G586" s="30" t="str">
        <x:v>standard</x:v>
      </x:c>
      <x:c r="H586" s="30" t="str">
        <x:v>year-round</x:v>
      </x:c>
      <x:c r="I5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7">
      <x:c r="A587" s="36" t="str">
        <x:v>mediterranean_europe</x:v>
      </x:c>
      <x:c r="B587" s="30" t="str">
        <x:v>mediterranean-europe-broad-draft-1</x:v>
      </x:c>
      <x:c r="C587" s="30" t="n">
        <x:v>35637</x:v>
      </x:c>
      <x:c r="D587" s="32" t="str">
        <x:v>Lilford's Wall Lizard</x:v>
      </x:c>
      <x:c r="E587" s="32" t="str">
        <x:v>Podarcis lilfordi</x:v>
      </x:c>
      <x:c r="F587" s="30" t="str">
        <x:v>rare</x:v>
      </x:c>
      <x:c r="G587" s="30" t="str">
        <x:v>standard</x:v>
      </x:c>
      <x:c r="H587" s="30" t="str">
        <x:v>year-round</x:v>
      </x:c>
      <x:c r="I5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8">
      <x:c r="A588" s="36" t="str">
        <x:v>mediterranean_europe</x:v>
      </x:c>
      <x:c r="B588" s="30" t="str">
        <x:v>mediterranean-europe-broad-draft-1</x:v>
      </x:c>
      <x:c r="C588" s="30" t="n">
        <x:v>35912</x:v>
      </x:c>
      <x:c r="D588" s="32" t="str">
        <x:v>Sand Lizard</x:v>
      </x:c>
      <x:c r="E588" s="32" t="str">
        <x:v>Lacerta agilis</x:v>
      </x:c>
      <x:c r="F588" s="30" t="str">
        <x:v>rare</x:v>
      </x:c>
      <x:c r="G588" s="30" t="str">
        <x:v>standard</x:v>
      </x:c>
      <x:c r="H588" s="30" t="str">
        <x:v>year-round</x:v>
      </x:c>
      <x:c r="I5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89">
      <x:c r="A589" s="36" t="str">
        <x:v>mediterranean_europe</x:v>
      </x:c>
      <x:c r="B589" s="30" t="str">
        <x:v>mediterranean-europe-broad-draft-1</x:v>
      </x:c>
      <x:c r="C589" s="30" t="n">
        <x:v>35516</x:v>
      </x:c>
      <x:c r="D589" s="32" t="str">
        <x:v>Spanish Psammodromus</x:v>
      </x:c>
      <x:c r="E589" s="32" t="str">
        <x:v>Psammodromus hispanicus</x:v>
      </x:c>
      <x:c r="F589" s="30" t="str">
        <x:v>very_rare</x:v>
      </x:c>
      <x:c r="G589" s="30" t="str">
        <x:v>standard</x:v>
      </x:c>
      <x:c r="H589" s="30" t="str">
        <x:v>year-round</x:v>
      </x:c>
      <x:c r="I5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0">
      <x:c r="A590" s="36" t="str">
        <x:v>mediterranean_europe</x:v>
      </x:c>
      <x:c r="B590" s="30" t="str">
        <x:v>mediterranean-europe-broad-draft-1</x:v>
      </x:c>
      <x:c r="C590" s="30" t="n">
        <x:v>73917</x:v>
      </x:c>
      <x:c r="D590" s="32" t="str">
        <x:v>Milos Wall Lizard</x:v>
      </x:c>
      <x:c r="E590" s="32" t="str">
        <x:v>Podarcis milensis</x:v>
      </x:c>
      <x:c r="F590" s="30" t="str">
        <x:v>very_rare</x:v>
      </x:c>
      <x:c r="G590" s="30" t="str">
        <x:v>standard</x:v>
      </x:c>
      <x:c r="H590" s="30" t="str">
        <x:v>year-round</x:v>
      </x:c>
      <x:c r="I5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1">
      <x:c r="A591" s="36" t="str">
        <x:v>mediterranean_europe</x:v>
      </x:c>
      <x:c r="B591" s="30" t="str">
        <x:v>mediterranean-europe-broad-draft-1</x:v>
      </x:c>
      <x:c r="C591" s="30" t="n">
        <x:v>74008</x:v>
      </x:c>
      <x:c r="D591" s="32" t="str">
        <x:v>Italian Aesculapian Snake</x:v>
      </x:c>
      <x:c r="E591" s="32" t="str">
        <x:v>Zamenis lineatus</x:v>
      </x:c>
      <x:c r="F591" s="30" t="str">
        <x:v>very_rare</x:v>
      </x:c>
      <x:c r="G591" s="30" t="str">
        <x:v>standard</x:v>
      </x:c>
      <x:c r="H591" s="30" t="str">
        <x:v>year-round</x:v>
      </x:c>
      <x:c r="I5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2">
      <x:c r="A592" s="36" t="str">
        <x:v>mediterranean_europe</x:v>
      </x:c>
      <x:c r="B592" s="30" t="str">
        <x:v>mediterranean-europe-broad-draft-1</x:v>
      </x:c>
      <x:c r="C592" s="30" t="n">
        <x:v>50972</x:v>
      </x:c>
      <x:c r="D592" s="32" t="str">
        <x:v>Ornate Wrasse</x:v>
      </x:c>
      <x:c r="E592" s="32" t="str">
        <x:v>Thalassoma pavo</x:v>
      </x:c>
      <x:c r="F592" s="30" t="str">
        <x:v>common</x:v>
      </x:c>
      <x:c r="G592" s="30" t="str">
        <x:v>standard</x:v>
      </x:c>
      <x:c r="H592" s="30" t="str">
        <x:v>year-round</x:v>
      </x:c>
      <x:c r="I5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3">
      <x:c r="A593" s="36" t="str">
        <x:v>mediterranean_europe</x:v>
      </x:c>
      <x:c r="B593" s="30" t="str">
        <x:v>mediterranean-europe-broad-draft-1</x:v>
      </x:c>
      <x:c r="C593" s="30" t="n">
        <x:v>118663</x:v>
      </x:c>
      <x:c r="D593" s="32" t="str">
        <x:v>Salema Porgy</x:v>
      </x:c>
      <x:c r="E593" s="32" t="str">
        <x:v>Sarpa salpa</x:v>
      </x:c>
      <x:c r="F593" s="30" t="str">
        <x:v>common</x:v>
      </x:c>
      <x:c r="G593" s="30" t="str">
        <x:v>standard</x:v>
      </x:c>
      <x:c r="H593" s="30" t="str">
        <x:v>year-round</x:v>
      </x:c>
      <x:c r="I5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4">
      <x:c r="A594" s="36" t="str">
        <x:v>mediterranean_europe</x:v>
      </x:c>
      <x:c r="B594" s="30" t="str">
        <x:v>mediterranean-europe-broad-draft-1</x:v>
      </x:c>
      <x:c r="C594" s="30" t="n">
        <x:v>118667</x:v>
      </x:c>
      <x:c r="D594" s="32" t="str">
        <x:v>Common Two-banded Seabream</x:v>
      </x:c>
      <x:c r="E594" s="32" t="str">
        <x:v>Diplodus vulgaris</x:v>
      </x:c>
      <x:c r="F594" s="30" t="str">
        <x:v>common</x:v>
      </x:c>
      <x:c r="G594" s="30" t="str">
        <x:v>standard</x:v>
      </x:c>
      <x:c r="H594" s="30" t="str">
        <x:v>year-round</x:v>
      </x:c>
      <x:c r="I5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5">
      <x:c r="A595" s="36" t="str">
        <x:v>mediterranean_europe</x:v>
      </x:c>
      <x:c r="B595" s="30" t="str">
        <x:v>mediterranean-europe-broad-draft-1</x:v>
      </x:c>
      <x:c r="C595" s="30" t="n">
        <x:v>118669</x:v>
      </x:c>
      <x:c r="D595" s="32" t="str">
        <x:v>White Sea Bream</x:v>
      </x:c>
      <x:c r="E595" s="32" t="str">
        <x:v>Diplodus sargus</x:v>
      </x:c>
      <x:c r="F595" s="30" t="str">
        <x:v>common</x:v>
      </x:c>
      <x:c r="G595" s="30" t="str">
        <x:v>standard</x:v>
      </x:c>
      <x:c r="H595" s="30" t="str">
        <x:v>year-round</x:v>
      </x:c>
      <x:c r="I5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6">
      <x:c r="A596" s="36" t="str">
        <x:v>mediterranean_europe</x:v>
      </x:c>
      <x:c r="B596" s="30" t="str">
        <x:v>mediterranean-europe-broad-draft-1</x:v>
      </x:c>
      <x:c r="C596" s="30" t="n">
        <x:v>50968</x:v>
      </x:c>
      <x:c r="D596" s="32" t="str">
        <x:v>Mediterranean Rainbow Wrasse</x:v>
      </x:c>
      <x:c r="E596" s="32" t="str">
        <x:v>Coris julis</x:v>
      </x:c>
      <x:c r="F596" s="30" t="str">
        <x:v>common</x:v>
      </x:c>
      <x:c r="G596" s="30" t="str">
        <x:v>standard</x:v>
      </x:c>
      <x:c r="H596" s="30" t="str">
        <x:v>year-round</x:v>
      </x:c>
      <x:c r="I5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7">
      <x:c r="A597" s="36" t="str">
        <x:v>mediterranean_europe</x:v>
      </x:c>
      <x:c r="B597" s="30" t="str">
        <x:v>mediterranean-europe-broad-draft-1</x:v>
      </x:c>
      <x:c r="C597" s="30" t="n">
        <x:v>118674</x:v>
      </x:c>
      <x:c r="D597" s="32" t="str">
        <x:v>Painted Comber</x:v>
      </x:c>
      <x:c r="E597" s="32" t="str">
        <x:v>Serranus scriba</x:v>
      </x:c>
      <x:c r="F597" s="30" t="str">
        <x:v>common</x:v>
      </x:c>
      <x:c r="G597" s="30" t="str">
        <x:v>standard</x:v>
      </x:c>
      <x:c r="H597" s="30" t="str">
        <x:v>year-round</x:v>
      </x:c>
      <x:c r="I5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8">
      <x:c r="A598" s="36" t="str">
        <x:v>mediterranean_europe</x:v>
      </x:c>
      <x:c r="B598" s="30" t="str">
        <x:v>mediterranean-europe-broad-draft-1</x:v>
      </x:c>
      <x:c r="C598" s="30" t="n">
        <x:v>118682</x:v>
      </x:c>
      <x:c r="D598" s="32" t="str">
        <x:v>Mediterranean Damselfish</x:v>
      </x:c>
      <x:c r="E598" s="32" t="str">
        <x:v>Chromis chromis</x:v>
      </x:c>
      <x:c r="F598" s="30" t="str">
        <x:v>common</x:v>
      </x:c>
      <x:c r="G598" s="30" t="str">
        <x:v>standard</x:v>
      </x:c>
      <x:c r="H598" s="30" t="str">
        <x:v>year-round</x:v>
      </x:c>
      <x:c r="I5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599">
      <x:c r="A599" s="36" t="str">
        <x:v>mediterranean_europe</x:v>
      </x:c>
      <x:c r="B599" s="30" t="str">
        <x:v>mediterranean-europe-broad-draft-1</x:v>
      </x:c>
      <x:c r="C599" s="30" t="n">
        <x:v>118662</x:v>
      </x:c>
      <x:c r="D599" s="32" t="str">
        <x:v>Saddled Seabream</x:v>
      </x:c>
      <x:c r="E599" s="32" t="str">
        <x:v>Oblada melanurus</x:v>
      </x:c>
      <x:c r="F599" s="30" t="str">
        <x:v>common</x:v>
      </x:c>
      <x:c r="G599" s="30" t="str">
        <x:v>standard</x:v>
      </x:c>
      <x:c r="H599" s="30" t="str">
        <x:v>year-round</x:v>
      </x:c>
      <x:c r="I5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0">
      <x:c r="A600" s="36" t="str">
        <x:v>mediterranean_europe</x:v>
      </x:c>
      <x:c r="B600" s="30" t="str">
        <x:v>mediterranean-europe-broad-draft-1</x:v>
      </x:c>
      <x:c r="C600" s="30" t="n">
        <x:v>52554</x:v>
      </x:c>
      <x:c r="D600" s="32" t="str">
        <x:v>East Atlantic Peacock Wrasse</x:v>
      </x:c>
      <x:c r="E600" s="32" t="str">
        <x:v>Symphodus tinca</x:v>
      </x:c>
      <x:c r="F600" s="30" t="str">
        <x:v>common</x:v>
      </x:c>
      <x:c r="G600" s="30" t="str">
        <x:v>standard</x:v>
      </x:c>
      <x:c r="H600" s="30" t="str">
        <x:v>year-round</x:v>
      </x:c>
      <x:c r="I6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1">
      <x:c r="A601" s="36" t="str">
        <x:v>mediterranean_europe</x:v>
      </x:c>
      <x:c r="B601" s="30" t="str">
        <x:v>mediterranean-europe-broad-draft-1</x:v>
      </x:c>
      <x:c r="C601" s="30" t="n">
        <x:v>112860</x:v>
      </x:c>
      <x:c r="D601" s="32" t="str">
        <x:v>European Parrotfish</x:v>
      </x:c>
      <x:c r="E601" s="32" t="str">
        <x:v>Sparisoma cretense</x:v>
      </x:c>
      <x:c r="F601" s="30" t="str">
        <x:v>common</x:v>
      </x:c>
      <x:c r="G601" s="30" t="str">
        <x:v>standard</x:v>
      </x:c>
      <x:c r="H601" s="30" t="str">
        <x:v>year-round</x:v>
      </x:c>
      <x:c r="I6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2">
      <x:c r="A602" s="36" t="str">
        <x:v>mediterranean_europe</x:v>
      </x:c>
      <x:c r="B602" s="30" t="str">
        <x:v>mediterranean-europe-broad-draft-1</x:v>
      </x:c>
      <x:c r="C602" s="30" t="n">
        <x:v>100119</x:v>
      </x:c>
      <x:c r="D602" s="32" t="str">
        <x:v>Dusky Grouper</x:v>
      </x:c>
      <x:c r="E602" s="32" t="str">
        <x:v>Epinephelus marginatus</x:v>
      </x:c>
      <x:c r="F602" s="30" t="str">
        <x:v>common</x:v>
      </x:c>
      <x:c r="G602" s="30" t="str">
        <x:v>standard</x:v>
      </x:c>
      <x:c r="H602" s="30" t="str">
        <x:v>year-round</x:v>
      </x:c>
      <x:c r="I6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3">
      <x:c r="A603" s="36" t="str">
        <x:v>mediterranean_europe</x:v>
      </x:c>
      <x:c r="B603" s="30" t="str">
        <x:v>mediterranean-europe-broad-draft-1</x:v>
      </x:c>
      <x:c r="C603" s="30" t="n">
        <x:v>118619</x:v>
      </x:c>
      <x:c r="D603" s="32" t="str">
        <x:v>Striped Red Mullet</x:v>
      </x:c>
      <x:c r="E603" s="32" t="str">
        <x:v>Mullus surmuletus</x:v>
      </x:c>
      <x:c r="F603" s="30" t="str">
        <x:v>common</x:v>
      </x:c>
      <x:c r="G603" s="30" t="str">
        <x:v>standard</x:v>
      </x:c>
      <x:c r="H603" s="30" t="str">
        <x:v>year-round</x:v>
      </x:c>
      <x:c r="I6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4">
      <x:c r="A604" s="36" t="str">
        <x:v>mediterranean_europe</x:v>
      </x:c>
      <x:c r="B604" s="30" t="str">
        <x:v>mediterranean-europe-broad-draft-1</x:v>
      </x:c>
      <x:c r="C604" s="30" t="n">
        <x:v>53911</x:v>
      </x:c>
      <x:c r="D604" s="32" t="str">
        <x:v>European Carp</x:v>
      </x:c>
      <x:c r="E604" s="32" t="str">
        <x:v>Cyprinus carpio</x:v>
      </x:c>
      <x:c r="F604" s="30" t="str">
        <x:v>common</x:v>
      </x:c>
      <x:c r="G604" s="30" t="str">
        <x:v>standard</x:v>
      </x:c>
      <x:c r="H604" s="30" t="str">
        <x:v>year-round</x:v>
      </x:c>
      <x:c r="I6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5">
      <x:c r="A605" s="36" t="str">
        <x:v>mediterranean_europe</x:v>
      </x:c>
      <x:c r="B605" s="30" t="str">
        <x:v>mediterranean-europe-broad-draft-1</x:v>
      </x:c>
      <x:c r="C605" s="30" t="n">
        <x:v>338049</x:v>
      </x:c>
      <x:c r="D605" s="32" t="str">
        <x:v>Ringneck Blenny</x:v>
      </x:c>
      <x:c r="E605" s="32" t="str">
        <x:v>Parablennius pilicornis</x:v>
      </x:c>
      <x:c r="F605" s="30" t="str">
        <x:v>common</x:v>
      </x:c>
      <x:c r="G605" s="30" t="str">
        <x:v>standard</x:v>
      </x:c>
      <x:c r="H605" s="30" t="str">
        <x:v>year-round</x:v>
      </x:c>
      <x:c r="I6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6">
      <x:c r="A606" s="36" t="str">
        <x:v>mediterranean_europe</x:v>
      </x:c>
      <x:c r="B606" s="30" t="str">
        <x:v>mediterranean-europe-broad-draft-1</x:v>
      </x:c>
      <x:c r="C606" s="30" t="n">
        <x:v>118590</x:v>
      </x:c>
      <x:c r="D606" s="32" t="str">
        <x:v>Mediterranean Moray</x:v>
      </x:c>
      <x:c r="E606" s="32" t="str">
        <x:v>Muraena helena</x:v>
      </x:c>
      <x:c r="F606" s="30" t="str">
        <x:v>common</x:v>
      </x:c>
      <x:c r="G606" s="30" t="str">
        <x:v>standard</x:v>
      </x:c>
      <x:c r="H606" s="30" t="str">
        <x:v>year-round</x:v>
      </x:c>
      <x:c r="I6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7">
      <x:c r="A607" s="36" t="str">
        <x:v>mediterranean_europe</x:v>
      </x:c>
      <x:c r="B607" s="30" t="str">
        <x:v>mediterranean-europe-broad-draft-1</x:v>
      </x:c>
      <x:c r="C607" s="30" t="n">
        <x:v>342288</x:v>
      </x:c>
      <x:c r="D607" s="32" t="str">
        <x:v>Madeira Scorpionfish</x:v>
      </x:c>
      <x:c r="E607" s="32" t="str">
        <x:v>Scorpaena maderensis</x:v>
      </x:c>
      <x:c r="F607" s="30" t="str">
        <x:v>common</x:v>
      </x:c>
      <x:c r="G607" s="30" t="str">
        <x:v>standard</x:v>
      </x:c>
      <x:c r="H607" s="30" t="str">
        <x:v>year-round</x:v>
      </x:c>
      <x:c r="I6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8">
      <x:c r="A608" s="36" t="str">
        <x:v>mediterranean_europe</x:v>
      </x:c>
      <x:c r="B608" s="30" t="str">
        <x:v>mediterranean-europe-broad-draft-1</x:v>
      </x:c>
      <x:c r="C608" s="30" t="n">
        <x:v>118686</x:v>
      </x:c>
      <x:c r="D608" s="32" t="str">
        <x:v>Rusty Blenny</x:v>
      </x:c>
      <x:c r="E608" s="32" t="str">
        <x:v>Parablennius sanguinolentus</x:v>
      </x:c>
      <x:c r="F608" s="30" t="str">
        <x:v>common</x:v>
      </x:c>
      <x:c r="G608" s="30" t="str">
        <x:v>standard</x:v>
      </x:c>
      <x:c r="H608" s="30" t="str">
        <x:v>year-round</x:v>
      </x:c>
      <x:c r="I6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09">
      <x:c r="A609" s="36" t="str">
        <x:v>mediterranean_europe</x:v>
      </x:c>
      <x:c r="B609" s="30" t="str">
        <x:v>mediterranean-europe-broad-draft-1</x:v>
      </x:c>
      <x:c r="C609" s="30" t="n">
        <x:v>118660</x:v>
      </x:c>
      <x:c r="D609" s="32" t="str">
        <x:v>Striped Seabream</x:v>
      </x:c>
      <x:c r="E609" s="32" t="str">
        <x:v>Lithognathus mormyrus</x:v>
      </x:c>
      <x:c r="F609" s="30" t="str">
        <x:v>common</x:v>
      </x:c>
      <x:c r="G609" s="30" t="str">
        <x:v>standard</x:v>
      </x:c>
      <x:c r="H609" s="30" t="str">
        <x:v>year-round</x:v>
      </x:c>
      <x:c r="I6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0">
      <x:c r="A610" s="36" t="str">
        <x:v>mediterranean_europe</x:v>
      </x:c>
      <x:c r="B610" s="30" t="str">
        <x:v>mediterranean-europe-broad-draft-1</x:v>
      </x:c>
      <x:c r="C610" s="30" t="n">
        <x:v>505877</x:v>
      </x:c>
      <x:c r="D610" s="32" t="str">
        <x:v>Incognito Goby</x:v>
      </x:c>
      <x:c r="E610" s="32" t="str">
        <x:v>Gobius incognitus</x:v>
      </x:c>
      <x:c r="F610" s="30" t="str">
        <x:v>common</x:v>
      </x:c>
      <x:c r="G610" s="30" t="str">
        <x:v>standard</x:v>
      </x:c>
      <x:c r="H610" s="30" t="str">
        <x:v>year-round</x:v>
      </x:c>
      <x:c r="I6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1">
      <x:c r="A611" s="36" t="str">
        <x:v>mediterranean_europe</x:v>
      </x:c>
      <x:c r="B611" s="30" t="str">
        <x:v>mediterranean-europe-broad-draft-1</x:v>
      </x:c>
      <x:c r="C611" s="30" t="n">
        <x:v>188591</x:v>
      </x:c>
      <x:c r="D611" s="32" t="str">
        <x:v>Red-black Triplefin</x:v>
      </x:c>
      <x:c r="E611" s="32" t="str">
        <x:v>Tripterygion tripteronotum</x:v>
      </x:c>
      <x:c r="F611" s="30" t="str">
        <x:v>common</x:v>
      </x:c>
      <x:c r="G611" s="30" t="str">
        <x:v>standard</x:v>
      </x:c>
      <x:c r="H611" s="30" t="str">
        <x:v>year-round</x:v>
      </x:c>
      <x:c r="I6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2">
      <x:c r="A612" s="36" t="str">
        <x:v>mediterranean_europe</x:v>
      </x:c>
      <x:c r="B612" s="30" t="str">
        <x:v>mediterranean-europe-broad-draft-1</x:v>
      </x:c>
      <x:c r="C612" s="30" t="n">
        <x:v>1494783</x:v>
      </x:c>
      <x:c r="D612" s="32" t="str">
        <x:v>Gilthead Seabream</x:v>
      </x:c>
      <x:c r="E612" s="32" t="str">
        <x:v>Sparus aurata</x:v>
      </x:c>
      <x:c r="F612" s="30" t="str">
        <x:v>common</x:v>
      </x:c>
      <x:c r="G612" s="30" t="str">
        <x:v>standard</x:v>
      </x:c>
      <x:c r="H612" s="30" t="str">
        <x:v>year-round</x:v>
      </x:c>
      <x:c r="I6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3">
      <x:c r="A613" s="36" t="str">
        <x:v>mediterranean_europe</x:v>
      </x:c>
      <x:c r="B613" s="30" t="str">
        <x:v>mediterranean-europe-broad-draft-1</x:v>
      </x:c>
      <x:c r="C613" s="30" t="n">
        <x:v>118631</x:v>
      </x:c>
      <x:c r="D613" s="32" t="str">
        <x:v>Black Scorpionfish</x:v>
      </x:c>
      <x:c r="E613" s="32" t="str">
        <x:v>Scorpaena porcus</x:v>
      </x:c>
      <x:c r="F613" s="30" t="str">
        <x:v>common</x:v>
      </x:c>
      <x:c r="G613" s="30" t="str">
        <x:v>standard</x:v>
      </x:c>
      <x:c r="H613" s="30" t="str">
        <x:v>year-round</x:v>
      </x:c>
      <x:c r="I6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4">
      <x:c r="A614" s="36" t="str">
        <x:v>mediterranean_europe</x:v>
      </x:c>
      <x:c r="B614" s="30" t="str">
        <x:v>mediterranean-europe-broad-draft-1</x:v>
      </x:c>
      <x:c r="C614" s="30" t="n">
        <x:v>53696</x:v>
      </x:c>
      <x:c r="D614" s="32" t="str">
        <x:v>Sharpsnout Seabream</x:v>
      </x:c>
      <x:c r="E614" s="32" t="str">
        <x:v>Diplodus puntazzo</x:v>
      </x:c>
      <x:c r="F614" s="30" t="str">
        <x:v>common</x:v>
      </x:c>
      <x:c r="G614" s="30" t="str">
        <x:v>standard</x:v>
      </x:c>
      <x:c r="H614" s="30" t="str">
        <x:v>year-round</x:v>
      </x:c>
      <x:c r="I6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5">
      <x:c r="A615" s="36" t="str">
        <x:v>mediterranean_europe</x:v>
      </x:c>
      <x:c r="B615" s="30" t="str">
        <x:v>mediterranean-europe-broad-draft-1</x:v>
      </x:c>
      <x:c r="C615" s="30" t="n">
        <x:v>118685</x:v>
      </x:c>
      <x:c r="D615" s="32" t="str">
        <x:v>Tompot Blenny</x:v>
      </x:c>
      <x:c r="E615" s="32" t="str">
        <x:v>Parablennius gattorugine</x:v>
      </x:c>
      <x:c r="F615" s="30" t="str">
        <x:v>common</x:v>
      </x:c>
      <x:c r="G615" s="30" t="str">
        <x:v>standard</x:v>
      </x:c>
      <x:c r="H615" s="30" t="str">
        <x:v>year-round</x:v>
      </x:c>
      <x:c r="I6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6">
      <x:c r="A616" s="36" t="str">
        <x:v>mediterranean_europe</x:v>
      </x:c>
      <x:c r="B616" s="30" t="str">
        <x:v>mediterranean-europe-broad-draft-1</x:v>
      </x:c>
      <x:c r="C616" s="30" t="n">
        <x:v>118640</x:v>
      </x:c>
      <x:c r="D616" s="32" t="str">
        <x:v>Wide-eyed Flounder</x:v>
      </x:c>
      <x:c r="E616" s="32" t="str">
        <x:v>Bothus podas</x:v>
      </x:c>
      <x:c r="F616" s="30" t="str">
        <x:v>common</x:v>
      </x:c>
      <x:c r="G616" s="30" t="str">
        <x:v>standard</x:v>
      </x:c>
      <x:c r="H616" s="30" t="str">
        <x:v>year-round</x:v>
      </x:c>
      <x:c r="I6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7">
      <x:c r="A617" s="36" t="str">
        <x:v>mediterranean_europe</x:v>
      </x:c>
      <x:c r="B617" s="30" t="str">
        <x:v>mediterranean-europe-broad-draft-1</x:v>
      </x:c>
      <x:c r="C617" s="30" t="n">
        <x:v>624069</x:v>
      </x:c>
      <x:c r="D617" s="32" t="str">
        <x:v>Moroccan White Seabream</x:v>
      </x:c>
      <x:c r="E617" s="32" t="str">
        <x:v>Diplodus cadenati</x:v>
      </x:c>
      <x:c r="F617" s="30" t="str">
        <x:v>common</x:v>
      </x:c>
      <x:c r="G617" s="30" t="str">
        <x:v>standard</x:v>
      </x:c>
      <x:c r="H617" s="30" t="str">
        <x:v>year-round</x:v>
      </x:c>
      <x:c r="I6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8">
      <x:c r="A618" s="36" t="str">
        <x:v>mediterranean_europe</x:v>
      </x:c>
      <x:c r="B618" s="30" t="str">
        <x:v>mediterranean-europe-broad-draft-1</x:v>
      </x:c>
      <x:c r="C618" s="30" t="n">
        <x:v>118514</x:v>
      </x:c>
      <x:c r="D618" s="32" t="str">
        <x:v>Mediterranean Cardinalfish</x:v>
      </x:c>
      <x:c r="E618" s="32" t="str">
        <x:v>Apogon imberbis</x:v>
      </x:c>
      <x:c r="F618" s="30" t="str">
        <x:v>common</x:v>
      </x:c>
      <x:c r="G618" s="30" t="str">
        <x:v>standard</x:v>
      </x:c>
      <x:c r="H618" s="30" t="str">
        <x:v>year-round</x:v>
      </x:c>
      <x:c r="I6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19">
      <x:c r="A619" s="36" t="str">
        <x:v>mediterranean_europe</x:v>
      </x:c>
      <x:c r="B619" s="30" t="str">
        <x:v>mediterranean-europe-broad-draft-1</x:v>
      </x:c>
      <x:c r="C619" s="30" t="n">
        <x:v>118675</x:v>
      </x:c>
      <x:c r="D619" s="32" t="str">
        <x:v>Comber</x:v>
      </x:c>
      <x:c r="E619" s="32" t="str">
        <x:v>Serranus cabrilla</x:v>
      </x:c>
      <x:c r="F619" s="30" t="str">
        <x:v>common</x:v>
      </x:c>
      <x:c r="G619" s="30" t="str">
        <x:v>standard</x:v>
      </x:c>
      <x:c r="H619" s="30" t="str">
        <x:v>year-round</x:v>
      </x:c>
      <x:c r="I6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0">
      <x:c r="A620" s="36" t="str">
        <x:v>mediterranean_europe</x:v>
      </x:c>
      <x:c r="B620" s="30" t="str">
        <x:v>mediterranean-europe-broad-draft-1</x:v>
      </x:c>
      <x:c r="C620" s="30" t="n">
        <x:v>118703</x:v>
      </x:c>
      <x:c r="D620" s="32" t="str">
        <x:v>Giant Goby</x:v>
      </x:c>
      <x:c r="E620" s="32" t="str">
        <x:v>Gobius cobitis</x:v>
      </x:c>
      <x:c r="F620" s="30" t="str">
        <x:v>common</x:v>
      </x:c>
      <x:c r="G620" s="30" t="str">
        <x:v>standard</x:v>
      </x:c>
      <x:c r="H620" s="30" t="str">
        <x:v>year-round</x:v>
      </x:c>
      <x:c r="I6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1">
      <x:c r="A621" s="36" t="str">
        <x:v>mediterranean_europe</x:v>
      </x:c>
      <x:c r="B621" s="30" t="str">
        <x:v>mediterranean-europe-broad-draft-1</x:v>
      </x:c>
      <x:c r="C621" s="30" t="n">
        <x:v>97345</x:v>
      </x:c>
      <x:c r="D621" s="32" t="str">
        <x:v>Thicklip Grey Mullet</x:v>
      </x:c>
      <x:c r="E621" s="32" t="str">
        <x:v>Chelon labrosus</x:v>
      </x:c>
      <x:c r="F621" s="30" t="str">
        <x:v>common</x:v>
      </x:c>
      <x:c r="G621" s="30" t="str">
        <x:v>standard</x:v>
      </x:c>
      <x:c r="H621" s="30" t="str">
        <x:v>year-round</x:v>
      </x:c>
      <x:c r="I6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2">
      <x:c r="A622" s="36" t="str">
        <x:v>mediterranean_europe</x:v>
      </x:c>
      <x:c r="B622" s="30" t="str">
        <x:v>mediterranean-europe-broad-draft-1</x:v>
      </x:c>
      <x:c r="C622" s="30" t="n">
        <x:v>49614</x:v>
      </x:c>
      <x:c r="D622" s="32" t="str">
        <x:v>Pumpkinseed</x:v>
      </x:c>
      <x:c r="E622" s="32" t="str">
        <x:v>Lepomis gibbosus</x:v>
      </x:c>
      <x:c r="F622" s="30" t="str">
        <x:v>common</x:v>
      </x:c>
      <x:c r="G622" s="30" t="str">
        <x:v>standard</x:v>
      </x:c>
      <x:c r="H622" s="30" t="str">
        <x:v>year-round</x:v>
      </x:c>
      <x:c r="I6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3">
      <x:c r="A623" s="36" t="str">
        <x:v>mediterranean_europe</x:v>
      </x:c>
      <x:c r="B623" s="30" t="str">
        <x:v>mediterranean-europe-broad-draft-1</x:v>
      </x:c>
      <x:c r="C623" s="30" t="n">
        <x:v>118664</x:v>
      </x:c>
      <x:c r="D623" s="32" t="str">
        <x:v>Bogue</x:v>
      </x:c>
      <x:c r="E623" s="32" t="str">
        <x:v>Boops boops</x:v>
      </x:c>
      <x:c r="F623" s="30" t="str">
        <x:v>common</x:v>
      </x:c>
      <x:c r="G623" s="30" t="str">
        <x:v>standard</x:v>
      </x:c>
      <x:c r="H623" s="30" t="str">
        <x:v>year-round</x:v>
      </x:c>
      <x:c r="I6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4">
      <x:c r="A624" s="36" t="str">
        <x:v>mediterranean_europe</x:v>
      </x:c>
      <x:c r="B624" s="30" t="str">
        <x:v>mediterranean-europe-broad-draft-1</x:v>
      </x:c>
      <x:c r="C624" s="30" t="n">
        <x:v>118665</x:v>
      </x:c>
      <x:c r="D624" s="32" t="str">
        <x:v>Annular Seabream</x:v>
      </x:c>
      <x:c r="E624" s="32" t="str">
        <x:v>Diplodus annularis</x:v>
      </x:c>
      <x:c r="F624" s="30" t="str">
        <x:v>common</x:v>
      </x:c>
      <x:c r="G624" s="30" t="str">
        <x:v>standard</x:v>
      </x:c>
      <x:c r="H624" s="30" t="str">
        <x:v>year-round</x:v>
      </x:c>
      <x:c r="I6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5">
      <x:c r="A625" s="36" t="str">
        <x:v>mediterranean_europe</x:v>
      </x:c>
      <x:c r="B625" s="30" t="str">
        <x:v>mediterranean-europe-broad-draft-1</x:v>
      </x:c>
      <x:c r="C625" s="30" t="n">
        <x:v>99269</x:v>
      </x:c>
      <x:c r="D625" s="32" t="str">
        <x:v>European Seabass</x:v>
      </x:c>
      <x:c r="E625" s="32" t="str">
        <x:v>Dicentrarchus labrax</x:v>
      </x:c>
      <x:c r="F625" s="30" t="str">
        <x:v>common</x:v>
      </x:c>
      <x:c r="G625" s="30" t="str">
        <x:v>standard</x:v>
      </x:c>
      <x:c r="H625" s="30" t="str">
        <x:v>year-round</x:v>
      </x:c>
      <x:c r="I6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6">
      <x:c r="A626" s="36" t="str">
        <x:v>mediterranean_europe</x:v>
      </x:c>
      <x:c r="B626" s="30" t="str">
        <x:v>mediterranean-europe-broad-draft-1</x:v>
      </x:c>
      <x:c r="C626" s="30" t="n">
        <x:v>84969</x:v>
      </x:c>
      <x:c r="D626" s="32" t="str">
        <x:v>Short-snouted Seahorse</x:v>
      </x:c>
      <x:c r="E626" s="32" t="str">
        <x:v>Hippocampus hippocampus</x:v>
      </x:c>
      <x:c r="F626" s="30" t="str">
        <x:v>common</x:v>
      </x:c>
      <x:c r="G626" s="30" t="str">
        <x:v>standard</x:v>
      </x:c>
      <x:c r="H626" s="30" t="str">
        <x:v>year-round</x:v>
      </x:c>
      <x:c r="I6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7">
      <x:c r="A627" s="36" t="str">
        <x:v>mediterranean_europe</x:v>
      </x:c>
      <x:c r="B627" s="30" t="str">
        <x:v>mediterranean-europe-broad-draft-1</x:v>
      </x:c>
      <x:c r="C627" s="30" t="n">
        <x:v>120634</x:v>
      </x:c>
      <x:c r="D627" s="32" t="str">
        <x:v>Dusky Spinefoot</x:v>
      </x:c>
      <x:c r="E627" s="32" t="str">
        <x:v>Siganus luridus</x:v>
      </x:c>
      <x:c r="F627" s="30" t="str">
        <x:v>common</x:v>
      </x:c>
      <x:c r="G627" s="30" t="str">
        <x:v>standard</x:v>
      </x:c>
      <x:c r="H627" s="30" t="str">
        <x:v>year-round</x:v>
      </x:c>
      <x:c r="I6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8">
      <x:c r="A628" s="36" t="str">
        <x:v>mediterranean_europe</x:v>
      </x:c>
      <x:c r="B628" s="30" t="str">
        <x:v>mediterranean-europe-broad-draft-1</x:v>
      </x:c>
      <x:c r="C628" s="30" t="n">
        <x:v>113535</x:v>
      </x:c>
      <x:c r="D628" s="32" t="str">
        <x:v>Five-spotted Wrasse</x:v>
      </x:c>
      <x:c r="E628" s="32" t="str">
        <x:v>Symphodus roissali</x:v>
      </x:c>
      <x:c r="F628" s="30" t="str">
        <x:v>common</x:v>
      </x:c>
      <x:c r="G628" s="30" t="str">
        <x:v>standard</x:v>
      </x:c>
      <x:c r="H628" s="30" t="str">
        <x:v>year-round</x:v>
      </x:c>
      <x:c r="I6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29">
      <x:c r="A629" s="36" t="str">
        <x:v>mediterranean_europe</x:v>
      </x:c>
      <x:c r="B629" s="30" t="str">
        <x:v>mediterranean-europe-broad-draft-1</x:v>
      </x:c>
      <x:c r="C629" s="30" t="n">
        <x:v>113019</x:v>
      </x:c>
      <x:c r="D629" s="32" t="str">
        <x:v>Cavedano Chub</x:v>
      </x:c>
      <x:c r="E629" s="32" t="str">
        <x:v>Squalius squalus</x:v>
      </x:c>
      <x:c r="F629" s="30" t="str">
        <x:v>common</x:v>
      </x:c>
      <x:c r="G629" s="30" t="str">
        <x:v>standard</x:v>
      </x:c>
      <x:c r="H629" s="30" t="str">
        <x:v>year-round</x:v>
      </x:c>
      <x:c r="I6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0">
      <x:c r="A630" s="36" t="str">
        <x:v>mediterranean_europe</x:v>
      </x:c>
      <x:c r="B630" s="30" t="str">
        <x:v>mediterranean-europe-broad-draft-1</x:v>
      </x:c>
      <x:c r="C630" s="30" t="n">
        <x:v>47260</x:v>
      </x:c>
      <x:c r="D630" s="32" t="str">
        <x:v>Yellowmouth Barracuda</x:v>
      </x:c>
      <x:c r="E630" s="32" t="str">
        <x:v>Sphyraena viridensis</x:v>
      </x:c>
      <x:c r="F630" s="30" t="str">
        <x:v>common</x:v>
      </x:c>
      <x:c r="G630" s="30" t="str">
        <x:v>standard</x:v>
      </x:c>
      <x:c r="H630" s="30" t="str">
        <x:v>year-round</x:v>
      </x:c>
      <x:c r="I6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1">
      <x:c r="A631" s="36" t="str">
        <x:v>mediterranean_europe</x:v>
      </x:c>
      <x:c r="B631" s="30" t="str">
        <x:v>mediterranean-europe-broad-draft-1</x:v>
      </x:c>
      <x:c r="C631" s="30" t="n">
        <x:v>47518</x:v>
      </x:c>
      <x:c r="D631" s="32" t="str">
        <x:v>Brown Trout</x:v>
      </x:c>
      <x:c r="E631" s="32" t="str">
        <x:v>Salmo trutta</x:v>
      </x:c>
      <x:c r="F631" s="30" t="str">
        <x:v>common</x:v>
      </x:c>
      <x:c r="G631" s="30" t="str">
        <x:v>standard</x:v>
      </x:c>
      <x:c r="H631" s="30" t="str">
        <x:v>year-round</x:v>
      </x:c>
      <x:c r="I6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2">
      <x:c r="A632" s="36" t="str">
        <x:v>mediterranean_europe</x:v>
      </x:c>
      <x:c r="B632" s="30" t="str">
        <x:v>mediterranean-europe-broad-draft-1</x:v>
      </x:c>
      <x:c r="C632" s="30" t="n">
        <x:v>112568</x:v>
      </x:c>
      <x:c r="D632" s="32" t="str">
        <x:v>Rivulated Rabbitfish</x:v>
      </x:c>
      <x:c r="E632" s="32" t="str">
        <x:v>Siganus rivulatus</x:v>
      </x:c>
      <x:c r="F632" s="30" t="str">
        <x:v>common</x:v>
      </x:c>
      <x:c r="G632" s="30" t="str">
        <x:v>standard</x:v>
      </x:c>
      <x:c r="H632" s="30" t="str">
        <x:v>year-round</x:v>
      </x:c>
      <x:c r="I6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3">
      <x:c r="A633" s="36" t="str">
        <x:v>mediterranean_europe</x:v>
      </x:c>
      <x:c r="B633" s="30" t="str">
        <x:v>mediterranean-europe-broad-draft-1</x:v>
      </x:c>
      <x:c r="C633" s="30" t="n">
        <x:v>118706</x:v>
      </x:c>
      <x:c r="D633" s="32" t="str">
        <x:v>Rock Goby</x:v>
      </x:c>
      <x:c r="E633" s="32" t="str">
        <x:v>Gobius paganellus</x:v>
      </x:c>
      <x:c r="F633" s="30" t="str">
        <x:v>common</x:v>
      </x:c>
      <x:c r="G633" s="30" t="str">
        <x:v>standard</x:v>
      </x:c>
      <x:c r="H633" s="30" t="str">
        <x:v>year-round</x:v>
      </x:c>
      <x:c r="I6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4">
      <x:c r="A634" s="36" t="str">
        <x:v>mediterranean_europe</x:v>
      </x:c>
      <x:c r="B634" s="30" t="str">
        <x:v>mediterranean-europe-broad-draft-1</x:v>
      </x:c>
      <x:c r="C634" s="30" t="n">
        <x:v>118617</x:v>
      </x:c>
      <x:c r="D634" s="32" t="str">
        <x:v>Boxlip Mullet</x:v>
      </x:c>
      <x:c r="E634" s="32" t="str">
        <x:v>Oedalechilus labeo</x:v>
      </x:c>
      <x:c r="F634" s="30" t="str">
        <x:v>common</x:v>
      </x:c>
      <x:c r="G634" s="30" t="str">
        <x:v>standard</x:v>
      </x:c>
      <x:c r="H634" s="30" t="str">
        <x:v>year-round</x:v>
      </x:c>
      <x:c r="I6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5">
      <x:c r="A635" s="36" t="str">
        <x:v>mediterranean_europe</x:v>
      </x:c>
      <x:c r="B635" s="30" t="str">
        <x:v>mediterranean-europe-broad-draft-1</x:v>
      </x:c>
      <x:c r="C635" s="30" t="n">
        <x:v>118642</x:v>
      </x:c>
      <x:c r="D635" s="32" t="str">
        <x:v>Black-faced Blenny</x:v>
      </x:c>
      <x:c r="E635" s="32" t="str">
        <x:v>Tripterygion delaisi</x:v>
      </x:c>
      <x:c r="F635" s="30" t="str">
        <x:v>common</x:v>
      </x:c>
      <x:c r="G635" s="30" t="str">
        <x:v>standard</x:v>
      </x:c>
      <x:c r="H635" s="30" t="str">
        <x:v>year-round</x:v>
      </x:c>
      <x:c r="I6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6">
      <x:c r="A636" s="36" t="str">
        <x:v>mediterranean_europe</x:v>
      </x:c>
      <x:c r="B636" s="30" t="str">
        <x:v>mediterranean-europe-broad-draft-1</x:v>
      </x:c>
      <x:c r="C636" s="30" t="n">
        <x:v>118704</x:v>
      </x:c>
      <x:c r="D636" s="32" t="str">
        <x:v>Black Goby</x:v>
      </x:c>
      <x:c r="E636" s="32" t="str">
        <x:v>Gobius niger</x:v>
      </x:c>
      <x:c r="F636" s="30" t="str">
        <x:v>common</x:v>
      </x:c>
      <x:c r="G636" s="30" t="str">
        <x:v>standard</x:v>
      </x:c>
      <x:c r="H636" s="30" t="str">
        <x:v>year-round</x:v>
      </x:c>
      <x:c r="I6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7">
      <x:c r="A637" s="36" t="str">
        <x:v>mediterranean_europe</x:v>
      </x:c>
      <x:c r="B637" s="30" t="str">
        <x:v>mediterranean-europe-broad-draft-1</x:v>
      </x:c>
      <x:c r="C637" s="30" t="n">
        <x:v>49984</x:v>
      </x:c>
      <x:c r="D637" s="32" t="str">
        <x:v>Horned Bream</x:v>
      </x:c>
      <x:c r="E637" s="32" t="str">
        <x:v>Diplodus cervinus</x:v>
      </x:c>
      <x:c r="F637" s="30" t="str">
        <x:v>common</x:v>
      </x:c>
      <x:c r="G637" s="30" t="str">
        <x:v>standard</x:v>
      </x:c>
      <x:c r="H637" s="30" t="str">
        <x:v>year-round</x:v>
      </x:c>
      <x:c r="I6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8">
      <x:c r="A638" s="36" t="str">
        <x:v>mediterranean_europe</x:v>
      </x:c>
      <x:c r="B638" s="30" t="str">
        <x:v>mediterranean-europe-broad-draft-1</x:v>
      </x:c>
      <x:c r="C638" s="30" t="n">
        <x:v>118688</x:v>
      </x:c>
      <x:c r="D638" s="32" t="str">
        <x:v>Peacock Blenny</x:v>
      </x:c>
      <x:c r="E638" s="32" t="str">
        <x:v>Salaria pavo</x:v>
      </x:c>
      <x:c r="F638" s="30" t="str">
        <x:v>common</x:v>
      </x:c>
      <x:c r="G638" s="30" t="str">
        <x:v>standard</x:v>
      </x:c>
      <x:c r="H638" s="30" t="str">
        <x:v>year-round</x:v>
      </x:c>
      <x:c r="I6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39">
      <x:c r="A639" s="36" t="str">
        <x:v>mediterranean_europe</x:v>
      </x:c>
      <x:c r="B639" s="30" t="str">
        <x:v>mediterranean-europe-broad-draft-1</x:v>
      </x:c>
      <x:c r="C639" s="30" t="n">
        <x:v>1256672</x:v>
      </x:c>
      <x:c r="D639" s="32" t="str">
        <x:v>Canary Damsel</x:v>
      </x:c>
      <x:c r="E639" s="32" t="str">
        <x:v>Similiparma lurida</x:v>
      </x:c>
      <x:c r="F639" s="30" t="str">
        <x:v>common</x:v>
      </x:c>
      <x:c r="G639" s="30" t="str">
        <x:v>standard</x:v>
      </x:c>
      <x:c r="H639" s="30" t="str">
        <x:v>year-round</x:v>
      </x:c>
      <x:c r="I6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0">
      <x:c r="A640" s="36" t="str">
        <x:v>mediterranean_europe</x:v>
      </x:c>
      <x:c r="B640" s="30" t="str">
        <x:v>mediterranean-europe-broad-draft-1</x:v>
      </x:c>
      <x:c r="C640" s="30" t="n">
        <x:v>118693</x:v>
      </x:c>
      <x:c r="D640" s="32" t="str">
        <x:v>Sphinx Blenny</x:v>
      </x:c>
      <x:c r="E640" s="32" t="str">
        <x:v>Aidablennius sphynx</x:v>
      </x:c>
      <x:c r="F640" s="30" t="str">
        <x:v>common</x:v>
      </x:c>
      <x:c r="G640" s="30" t="str">
        <x:v>standard</x:v>
      </x:c>
      <x:c r="H640" s="30" t="str">
        <x:v>year-round</x:v>
      </x:c>
      <x:c r="I6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1">
      <x:c r="A641" s="36" t="str">
        <x:v>mediterranean_europe</x:v>
      </x:c>
      <x:c r="B641" s="30" t="str">
        <x:v>mediterranean-europe-broad-draft-1</x:v>
      </x:c>
      <x:c r="C641" s="30" t="n">
        <x:v>51401</x:v>
      </x:c>
      <x:c r="D641" s="32" t="str">
        <x:v>Pompano</x:v>
      </x:c>
      <x:c r="E641" s="32" t="str">
        <x:v>Trachinotus ovatus</x:v>
      </x:c>
      <x:c r="F641" s="30" t="str">
        <x:v>common</x:v>
      </x:c>
      <x:c r="G641" s="30" t="str">
        <x:v>standard</x:v>
      </x:c>
      <x:c r="H641" s="30" t="str">
        <x:v>year-round</x:v>
      </x:c>
      <x:c r="I6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2">
      <x:c r="A642" s="36" t="str">
        <x:v>mediterranean_europe</x:v>
      </x:c>
      <x:c r="B642" s="30" t="str">
        <x:v>mediterranean-europe-broad-draft-1</x:v>
      </x:c>
      <x:c r="C642" s="30" t="n">
        <x:v>120637</x:v>
      </x:c>
      <x:c r="D642" s="32" t="str">
        <x:v>Mystery Blenny</x:v>
      </x:c>
      <x:c r="E642" s="32" t="str">
        <x:v>Parablennius incognitus</x:v>
      </x:c>
      <x:c r="F642" s="30" t="str">
        <x:v>common</x:v>
      </x:c>
      <x:c r="G642" s="30" t="str">
        <x:v>standard</x:v>
      </x:c>
      <x:c r="H642" s="30" t="str">
        <x:v>year-round</x:v>
      </x:c>
      <x:c r="I6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3">
      <x:c r="A643" s="36" t="str">
        <x:v>mediterranean_europe</x:v>
      </x:c>
      <x:c r="B643" s="30" t="str">
        <x:v>mediterranean-europe-broad-draft-1</x:v>
      </x:c>
      <x:c r="C643" s="30" t="n">
        <x:v>115188</x:v>
      </x:c>
      <x:c r="D643" s="32" t="str">
        <x:v>Pearly Razorfish</x:v>
      </x:c>
      <x:c r="E643" s="32" t="str">
        <x:v>Xyrichtys novacula</x:v>
      </x:c>
      <x:c r="F643" s="30" t="str">
        <x:v>common</x:v>
      </x:c>
      <x:c r="G643" s="30" t="str">
        <x:v>standard</x:v>
      </x:c>
      <x:c r="H643" s="30" t="str">
        <x:v>year-round</x:v>
      </x:c>
      <x:c r="I6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4">
      <x:c r="A644" s="36" t="str">
        <x:v>mediterranean_europe</x:v>
      </x:c>
      <x:c r="B644" s="30" t="str">
        <x:v>mediterranean-europe-broad-draft-1</x:v>
      </x:c>
      <x:c r="C644" s="30" t="n">
        <x:v>108409</x:v>
      </x:c>
      <x:c r="D644" s="32" t="str">
        <x:v>Rock-pool Blenny</x:v>
      </x:c>
      <x:c r="E644" s="32" t="str">
        <x:v>Parablennius parvicornis</x:v>
      </x:c>
      <x:c r="F644" s="30" t="str">
        <x:v>common</x:v>
      </x:c>
      <x:c r="G644" s="30" t="str">
        <x:v>standard</x:v>
      </x:c>
      <x:c r="H644" s="30" t="str">
        <x:v>year-round</x:v>
      </x:c>
      <x:c r="I6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5">
      <x:c r="A645" s="36" t="str">
        <x:v>mediterranean_europe</x:v>
      </x:c>
      <x:c r="B645" s="30" t="str">
        <x:v>mediterranean-europe-broad-draft-1</x:v>
      </x:c>
      <x:c r="C645" s="30" t="n">
        <x:v>113701</x:v>
      </x:c>
      <x:c r="D645" s="32" t="str">
        <x:v>Atlantic Lizardfish</x:v>
      </x:c>
      <x:c r="E645" s="32" t="str">
        <x:v>Synodus saurus</x:v>
      </x:c>
      <x:c r="F645" s="30" t="str">
        <x:v>common</x:v>
      </x:c>
      <x:c r="G645" s="30" t="str">
        <x:v>standard</x:v>
      </x:c>
      <x:c r="H645" s="30" t="str">
        <x:v>year-round</x:v>
      </x:c>
      <x:c r="I6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6">
      <x:c r="A646" s="36" t="str">
        <x:v>mediterranean_europe</x:v>
      </x:c>
      <x:c r="B646" s="30" t="str">
        <x:v>mediterranean-europe-broad-draft-1</x:v>
      </x:c>
      <x:c r="C646" s="30" t="n">
        <x:v>118630</x:v>
      </x:c>
      <x:c r="D646" s="32" t="str">
        <x:v>Small Red Scorpionfish</x:v>
      </x:c>
      <x:c r="E646" s="32" t="str">
        <x:v>Scorpaena notata</x:v>
      </x:c>
      <x:c r="F646" s="30" t="str">
        <x:v>common</x:v>
      </x:c>
      <x:c r="G646" s="30" t="str">
        <x:v>standard</x:v>
      </x:c>
      <x:c r="H646" s="30" t="str">
        <x:v>year-round</x:v>
      </x:c>
      <x:c r="I6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7">
      <x:c r="A647" s="36" t="str">
        <x:v>mediterranean_europe</x:v>
      </x:c>
      <x:c r="B647" s="30" t="str">
        <x:v>mediterranean-europe-broad-draft-1</x:v>
      </x:c>
      <x:c r="C647" s="30" t="n">
        <x:v>118707</x:v>
      </x:c>
      <x:c r="D647" s="32" t="str">
        <x:v>Madeira Goby</x:v>
      </x:c>
      <x:c r="E647" s="32" t="str">
        <x:v>Mauligobius maderensis</x:v>
      </x:c>
      <x:c r="F647" s="30" t="str">
        <x:v>common</x:v>
      </x:c>
      <x:c r="G647" s="30" t="str">
        <x:v>standard</x:v>
      </x:c>
      <x:c r="H647" s="30" t="str">
        <x:v>year-round</x:v>
      </x:c>
      <x:c r="I6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8">
      <x:c r="A648" s="36" t="str">
        <x:v>mediterranean_europe</x:v>
      </x:c>
      <x:c r="B648" s="30" t="str">
        <x:v>mediterranean-europe-broad-draft-1</x:v>
      </x:c>
      <x:c r="C648" s="30" t="n">
        <x:v>128858</x:v>
      </x:c>
      <x:c r="D648" s="32" t="str">
        <x:v>Macaronesian Toby</x:v>
      </x:c>
      <x:c r="E648" s="32" t="str">
        <x:v>Canthigaster capistrata</x:v>
      </x:c>
      <x:c r="F648" s="30" t="str">
        <x:v>common</x:v>
      </x:c>
      <x:c r="G648" s="30" t="str">
        <x:v>standard</x:v>
      </x:c>
      <x:c r="H648" s="30" t="str">
        <x:v>year-round</x:v>
      </x:c>
      <x:c r="I6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49">
      <x:c r="A649" s="36" t="str">
        <x:v>mediterranean_europe</x:v>
      </x:c>
      <x:c r="B649" s="30" t="str">
        <x:v>mediterranean-europe-broad-draft-1</x:v>
      </x:c>
      <x:c r="C649" s="30" t="n">
        <x:v>100091</x:v>
      </x:c>
      <x:c r="D649" s="32" t="str">
        <x:v>Gold Blotch Grouper</x:v>
      </x:c>
      <x:c r="E649" s="32" t="str">
        <x:v>Epinephelus costae</x:v>
      </x:c>
      <x:c r="F649" s="30" t="str">
        <x:v>common</x:v>
      </x:c>
      <x:c r="G649" s="30" t="str">
        <x:v>standard</x:v>
      </x:c>
      <x:c r="H649" s="30" t="str">
        <x:v>year-round</x:v>
      </x:c>
      <x:c r="I6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0">
      <x:c r="A650" s="36" t="str">
        <x:v>mediterranean_europe</x:v>
      </x:c>
      <x:c r="B650" s="30" t="str">
        <x:v>mediterranean-europe-broad-draft-1</x:v>
      </x:c>
      <x:c r="C650" s="30" t="n">
        <x:v>210294</x:v>
      </x:c>
      <x:c r="D650" s="32" t="str">
        <x:v>Shanny</x:v>
      </x:c>
      <x:c r="E650" s="32" t="str">
        <x:v>Lipophrys pholis</x:v>
      </x:c>
      <x:c r="F650" s="30" t="str">
        <x:v>common</x:v>
      </x:c>
      <x:c r="G650" s="30" t="str">
        <x:v>standard</x:v>
      </x:c>
      <x:c r="H650" s="30" t="str">
        <x:v>year-round</x:v>
      </x:c>
      <x:c r="I6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1">
      <x:c r="A651" s="36" t="str">
        <x:v>mediterranean_europe</x:v>
      </x:c>
      <x:c r="B651" s="30" t="str">
        <x:v>mediterranean-europe-broad-draft-1</x:v>
      </x:c>
      <x:c r="C651" s="30" t="n">
        <x:v>1439808</x:v>
      </x:c>
      <x:c r="D651" s="32" t="str">
        <x:v>Largemouth Bass</x:v>
      </x:c>
      <x:c r="E651" s="32" t="str">
        <x:v>Micropterus nigricans</x:v>
      </x:c>
      <x:c r="F651" s="30" t="str">
        <x:v>common</x:v>
      </x:c>
      <x:c r="G651" s="30" t="str">
        <x:v>standard</x:v>
      </x:c>
      <x:c r="H651" s="30" t="str">
        <x:v>year-round</x:v>
      </x:c>
      <x:c r="I6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2">
      <x:c r="A652" s="36" t="str">
        <x:v>mediterranean_europe</x:v>
      </x:c>
      <x:c r="B652" s="30" t="str">
        <x:v>mediterranean-europe-broad-draft-1</x:v>
      </x:c>
      <x:c r="C652" s="30" t="n">
        <x:v>94786</x:v>
      </x:c>
      <x:c r="D652" s="32" t="str">
        <x:v>Big-scale Sand Smelt</x:v>
      </x:c>
      <x:c r="E652" s="32" t="str">
        <x:v>Atherina boyeri</x:v>
      </x:c>
      <x:c r="F652" s="30" t="str">
        <x:v>common</x:v>
      </x:c>
      <x:c r="G652" s="30" t="str">
        <x:v>standard</x:v>
      </x:c>
      <x:c r="H652" s="30" t="str">
        <x:v>year-round</x:v>
      </x:c>
      <x:c r="I6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3">
      <x:c r="A653" s="36" t="str">
        <x:v>mediterranean_europe</x:v>
      </x:c>
      <x:c r="B653" s="30" t="str">
        <x:v>mediterranean-europe-broad-draft-1</x:v>
      </x:c>
      <x:c r="C653" s="30" t="n">
        <x:v>103912</x:v>
      </x:c>
      <x:c r="D653" s="32" t="str">
        <x:v>Brown Wrasse</x:v>
      </x:c>
      <x:c r="E653" s="32" t="str">
        <x:v>Labrus merula</x:v>
      </x:c>
      <x:c r="F653" s="30" t="str">
        <x:v>common</x:v>
      </x:c>
      <x:c r="G653" s="30" t="str">
        <x:v>standard</x:v>
      </x:c>
      <x:c r="H653" s="30" t="str">
        <x:v>year-round</x:v>
      </x:c>
      <x:c r="I6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4">
      <x:c r="A654" s="36" t="str">
        <x:v>mediterranean_europe</x:v>
      </x:c>
      <x:c r="B654" s="30" t="str">
        <x:v>mediterranean-europe-broad-draft-1</x:v>
      </x:c>
      <x:c r="C654" s="30" t="n">
        <x:v>118692</x:v>
      </x:c>
      <x:c r="D654" s="32" t="str">
        <x:v>Montagu's Blenny</x:v>
      </x:c>
      <x:c r="E654" s="32" t="str">
        <x:v>Coryphoblennius galerita</x:v>
      </x:c>
      <x:c r="F654" s="30" t="str">
        <x:v>common</x:v>
      </x:c>
      <x:c r="G654" s="30" t="str">
        <x:v>standard</x:v>
      </x:c>
      <x:c r="H654" s="30" t="str">
        <x:v>year-round</x:v>
      </x:c>
      <x:c r="I6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5">
      <x:c r="A655" s="36" t="str">
        <x:v>mediterranean_europe</x:v>
      </x:c>
      <x:c r="B655" s="30" t="str">
        <x:v>mediterranean-europe-broad-draft-1</x:v>
      </x:c>
      <x:c r="C655" s="30" t="n">
        <x:v>94105</x:v>
      </x:c>
      <x:c r="D655" s="32" t="str">
        <x:v>European Eel</x:v>
      </x:c>
      <x:c r="E655" s="32" t="str">
        <x:v>Anguilla anguilla</x:v>
      </x:c>
      <x:c r="F655" s="30" t="str">
        <x:v>common</x:v>
      </x:c>
      <x:c r="G655" s="30" t="str">
        <x:v>standard</x:v>
      </x:c>
      <x:c r="H655" s="30" t="str">
        <x:v>year-round</x:v>
      </x:c>
      <x:c r="I6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6">
      <x:c r="A656" s="36" t="str">
        <x:v>mediterranean_europe</x:v>
      </x:c>
      <x:c r="B656" s="30" t="str">
        <x:v>mediterranean-europe-broad-draft-1</x:v>
      </x:c>
      <x:c r="C656" s="30" t="n">
        <x:v>106306</x:v>
      </x:c>
      <x:c r="D656" s="32" t="str">
        <x:v>Island Grouper</x:v>
      </x:c>
      <x:c r="E656" s="32" t="str">
        <x:v>Mycteroperca fusca</x:v>
      </x:c>
      <x:c r="F656" s="30" t="str">
        <x:v>common</x:v>
      </x:c>
      <x:c r="G656" s="30" t="str">
        <x:v>standard</x:v>
      </x:c>
      <x:c r="H656" s="30" t="str">
        <x:v>year-round</x:v>
      </x:c>
      <x:c r="I6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7">
      <x:c r="A657" s="36" t="str">
        <x:v>mediterranean_europe</x:v>
      </x:c>
      <x:c r="B657" s="30" t="str">
        <x:v>mediterranean-europe-broad-draft-1</x:v>
      </x:c>
      <x:c r="C657" s="30" t="n">
        <x:v>108412</x:v>
      </x:c>
      <x:c r="D657" s="32" t="str">
        <x:v>Zvonimir's Blenny</x:v>
      </x:c>
      <x:c r="E657" s="32" t="str">
        <x:v>Parablennius zvonimiri</x:v>
      </x:c>
      <x:c r="F657" s="30" t="str">
        <x:v>common</x:v>
      </x:c>
      <x:c r="G657" s="30" t="str">
        <x:v>standard</x:v>
      </x:c>
      <x:c r="H657" s="30" t="str">
        <x:v>year-round</x:v>
      </x:c>
      <x:c r="I6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8">
      <x:c r="A658" s="36" t="str">
        <x:v>mediterranean_europe</x:v>
      </x:c>
      <x:c r="B658" s="30" t="str">
        <x:v>mediterranean-europe-broad-draft-1</x:v>
      </x:c>
      <x:c r="C658" s="30" t="n">
        <x:v>118652</x:v>
      </x:c>
      <x:c r="D658" s="32" t="str">
        <x:v>Greater Weever</x:v>
      </x:c>
      <x:c r="E658" s="32" t="str">
        <x:v>Trachinus draco</x:v>
      </x:c>
      <x:c r="F658" s="30" t="str">
        <x:v>common</x:v>
      </x:c>
      <x:c r="G658" s="30" t="str">
        <x:v>standard</x:v>
      </x:c>
      <x:c r="H658" s="30" t="str">
        <x:v>year-round</x:v>
      </x:c>
      <x:c r="I6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59">
      <x:c r="A659" s="36" t="str">
        <x:v>mediterranean_europe</x:v>
      </x:c>
      <x:c r="B659" s="30" t="str">
        <x:v>mediterranean-europe-broad-draft-1</x:v>
      </x:c>
      <x:c r="C659" s="30" t="n">
        <x:v>118655</x:v>
      </x:c>
      <x:c r="D659" s="32" t="str">
        <x:v>Black Seabream</x:v>
      </x:c>
      <x:c r="E659" s="32" t="str">
        <x:v>Spondyliosoma cantharus</x:v>
      </x:c>
      <x:c r="F659" s="30" t="str">
        <x:v>common</x:v>
      </x:c>
      <x:c r="G659" s="30" t="str">
        <x:v>standard</x:v>
      </x:c>
      <x:c r="H659" s="30" t="str">
        <x:v>year-round</x:v>
      </x:c>
      <x:c r="I6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0">
      <x:c r="A660" s="36" t="str">
        <x:v>mediterranean_europe</x:v>
      </x:c>
      <x:c r="B660" s="30" t="str">
        <x:v>mediterranean-europe-broad-draft-1</x:v>
      </x:c>
      <x:c r="C660" s="30" t="n">
        <x:v>118589</x:v>
      </x:c>
      <x:c r="D660" s="32" t="str">
        <x:v>European Conger</x:v>
      </x:c>
      <x:c r="E660" s="32" t="str">
        <x:v>Conger conger</x:v>
      </x:c>
      <x:c r="F660" s="30" t="str">
        <x:v>common</x:v>
      </x:c>
      <x:c r="G660" s="30" t="str">
        <x:v>standard</x:v>
      </x:c>
      <x:c r="H660" s="30" t="str">
        <x:v>year-round</x:v>
      </x:c>
      <x:c r="I6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1">
      <x:c r="A661" s="36" t="str">
        <x:v>mediterranean_europe</x:v>
      </x:c>
      <x:c r="B661" s="30" t="str">
        <x:v>mediterranean-europe-broad-draft-1</x:v>
      </x:c>
      <x:c r="C661" s="30" t="n">
        <x:v>113531</x:v>
      </x:c>
      <x:c r="D661" s="32" t="str">
        <x:v>Axillary Wrasse</x:v>
      </x:c>
      <x:c r="E661" s="32" t="str">
        <x:v>Symphodus mediterraneus</x:v>
      </x:c>
      <x:c r="F661" s="30" t="str">
        <x:v>common</x:v>
      </x:c>
      <x:c r="G661" s="30" t="str">
        <x:v>standard</x:v>
      </x:c>
      <x:c r="H661" s="30" t="str">
        <x:v>year-round</x:v>
      </x:c>
      <x:c r="I6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2">
      <x:c r="A662" s="36" t="str">
        <x:v>mediterranean_europe</x:v>
      </x:c>
      <x:c r="B662" s="30" t="str">
        <x:v>mediterranean-europe-broad-draft-1</x:v>
      </x:c>
      <x:c r="C662" s="30" t="n">
        <x:v>118702</x:v>
      </x:c>
      <x:c r="D662" s="32" t="str">
        <x:v>Red-mouthed Goby</x:v>
      </x:c>
      <x:c r="E662" s="32" t="str">
        <x:v>Gobius cruentatus</x:v>
      </x:c>
      <x:c r="F662" s="30" t="str">
        <x:v>common</x:v>
      </x:c>
      <x:c r="G662" s="30" t="str">
        <x:v>standard</x:v>
      </x:c>
      <x:c r="H662" s="30" t="str">
        <x:v>year-round</x:v>
      </x:c>
      <x:c r="I6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3">
      <x:c r="A663" s="36" t="str">
        <x:v>mediterranean_europe</x:v>
      </x:c>
      <x:c r="B663" s="30" t="str">
        <x:v>mediterranean-europe-broad-draft-1</x:v>
      </x:c>
      <x:c r="C663" s="30" t="n">
        <x:v>63412</x:v>
      </x:c>
      <x:c r="D663" s="32" t="str">
        <x:v>East Atlantic Redlip Blenny</x:v>
      </x:c>
      <x:c r="E663" s="32" t="str">
        <x:v>Ophioblennius atlanticus</x:v>
      </x:c>
      <x:c r="F663" s="30" t="str">
        <x:v>common</x:v>
      </x:c>
      <x:c r="G663" s="30" t="str">
        <x:v>standard</x:v>
      </x:c>
      <x:c r="H663" s="30" t="str">
        <x:v>year-round</x:v>
      </x:c>
      <x:c r="I6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4">
      <x:c r="A664" s="36" t="str">
        <x:v>mediterranean_europe</x:v>
      </x:c>
      <x:c r="B664" s="30" t="str">
        <x:v>mediterranean-europe-broad-draft-1</x:v>
      </x:c>
      <x:c r="C664" s="30" t="n">
        <x:v>131428</x:v>
      </x:c>
      <x:c r="D664" s="32" t="str">
        <x:v>Red Lizardfish</x:v>
      </x:c>
      <x:c r="E664" s="32" t="str">
        <x:v>Synodus synodus</x:v>
      </x:c>
      <x:c r="F664" s="30" t="str">
        <x:v>common</x:v>
      </x:c>
      <x:c r="G664" s="30" t="str">
        <x:v>standard</x:v>
      </x:c>
      <x:c r="H664" s="30" t="str">
        <x:v>year-round</x:v>
      </x:c>
      <x:c r="I6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5">
      <x:c r="A665" s="36" t="str">
        <x:v>mediterranean_europe</x:v>
      </x:c>
      <x:c r="B665" s="30" t="str">
        <x:v>mediterranean-europe-broad-draft-1</x:v>
      </x:c>
      <x:c r="C665" s="30" t="n">
        <x:v>114453</x:v>
      </x:c>
      <x:c r="D665" s="32" t="str">
        <x:v>Small Triplefin Blenny</x:v>
      </x:c>
      <x:c r="E665" s="32" t="str">
        <x:v>Tripterygion melanurus</x:v>
      </x:c>
      <x:c r="F665" s="30" t="str">
        <x:v>common</x:v>
      </x:c>
      <x:c r="G665" s="30" t="str">
        <x:v>standard</x:v>
      </x:c>
      <x:c r="H665" s="30" t="str">
        <x:v>year-round</x:v>
      </x:c>
      <x:c r="I6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6">
      <x:c r="A666" s="36" t="str">
        <x:v>mediterranean_europe</x:v>
      </x:c>
      <x:c r="B666" s="30" t="str">
        <x:v>mediterranean-europe-broad-draft-1</x:v>
      </x:c>
      <x:c r="C666" s="30" t="n">
        <x:v>123459</x:v>
      </x:c>
      <x:c r="D666" s="32" t="str">
        <x:v>Indian Lionfish</x:v>
      </x:c>
      <x:c r="E666" s="32" t="str">
        <x:v>Pterois miles</x:v>
      </x:c>
      <x:c r="F666" s="30" t="str">
        <x:v>common</x:v>
      </x:c>
      <x:c r="G666" s="30" t="str">
        <x:v>standard</x:v>
      </x:c>
      <x:c r="H666" s="30" t="str">
        <x:v>year-round</x:v>
      </x:c>
      <x:c r="I6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7">
      <x:c r="A667" s="36" t="str">
        <x:v>mediterranean_europe</x:v>
      </x:c>
      <x:c r="B667" s="30" t="str">
        <x:v>mediterranean-europe-broad-draft-1</x:v>
      </x:c>
      <x:c r="C667" s="30" t="n">
        <x:v>84861</x:v>
      </x:c>
      <x:c r="D667" s="32" t="str">
        <x:v>Red Scorpionfish</x:v>
      </x:c>
      <x:c r="E667" s="32" t="str">
        <x:v>Scorpaena scrofa</x:v>
      </x:c>
      <x:c r="F667" s="30" t="str">
        <x:v>common</x:v>
      </x:c>
      <x:c r="G667" s="30" t="str">
        <x:v>standard</x:v>
      </x:c>
      <x:c r="H667" s="30" t="str">
        <x:v>year-round</x:v>
      </x:c>
      <x:c r="I6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8">
      <x:c r="A668" s="36" t="str">
        <x:v>mediterranean_europe</x:v>
      </x:c>
      <x:c r="B668" s="30" t="str">
        <x:v>mediterranean-europe-broad-draft-1</x:v>
      </x:c>
      <x:c r="C668" s="30" t="n">
        <x:v>51549</x:v>
      </x:c>
      <x:c r="D668" s="32" t="str">
        <x:v>Greater Amberjack</x:v>
      </x:c>
      <x:c r="E668" s="32" t="str">
        <x:v>Seriola dumerili</x:v>
      </x:c>
      <x:c r="F668" s="30" t="str">
        <x:v>common</x:v>
      </x:c>
      <x:c r="G668" s="30" t="str">
        <x:v>standard</x:v>
      </x:c>
      <x:c r="H668" s="30" t="str">
        <x:v>year-round</x:v>
      </x:c>
      <x:c r="I6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69">
      <x:c r="A669" s="36" t="str">
        <x:v>mediterranean_europe</x:v>
      </x:c>
      <x:c r="B669" s="30" t="str">
        <x:v>mediterranean-europe-broad-draft-1</x:v>
      </x:c>
      <x:c r="C669" s="30" t="n">
        <x:v>342289</x:v>
      </x:c>
      <x:c r="D669" s="32" t="str">
        <x:v>Guinean Puffer</x:v>
      </x:c>
      <x:c r="E669" s="32" t="str">
        <x:v>Sphoeroides marmoratus</x:v>
      </x:c>
      <x:c r="F669" s="30" t="str">
        <x:v>common</x:v>
      </x:c>
      <x:c r="G669" s="30" t="str">
        <x:v>standard</x:v>
      </x:c>
      <x:c r="H669" s="30" t="str">
        <x:v>year-round</x:v>
      </x:c>
      <x:c r="I6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0">
      <x:c r="A670" s="36" t="str">
        <x:v>mediterranean_europe</x:v>
      </x:c>
      <x:c r="B670" s="30" t="str">
        <x:v>mediterranean-europe-broad-draft-1</x:v>
      </x:c>
      <x:c r="C670" s="30" t="n">
        <x:v>101621</x:v>
      </x:c>
      <x:c r="D670" s="32" t="str">
        <x:v>Slender Goby</x:v>
      </x:c>
      <x:c r="E670" s="32" t="str">
        <x:v>Gobius geniporus</x:v>
      </x:c>
      <x:c r="F670" s="30" t="str">
        <x:v>common</x:v>
      </x:c>
      <x:c r="G670" s="30" t="str">
        <x:v>standard</x:v>
      </x:c>
      <x:c r="H670" s="30" t="str">
        <x:v>year-round</x:v>
      </x:c>
      <x:c r="I6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1">
      <x:c r="A671" s="36" t="str">
        <x:v>mediterranean_europe</x:v>
      </x:c>
      <x:c r="B671" s="30" t="str">
        <x:v>mediterranean-europe-broad-draft-1</x:v>
      </x:c>
      <x:c r="C671" s="30" t="n">
        <x:v>1360107</x:v>
      </x:c>
      <x:c r="D671" s="32" t="str">
        <x:v>Atlantic rainbow wrasse</x:v>
      </x:c>
      <x:c r="E671" s="32" t="str">
        <x:v>Coris melanura</x:v>
      </x:c>
      <x:c r="F671" s="30" t="str">
        <x:v>common</x:v>
      </x:c>
      <x:c r="G671" s="30" t="str">
        <x:v>standard</x:v>
      </x:c>
      <x:c r="H671" s="30" t="str">
        <x:v>year-round</x:v>
      </x:c>
      <x:c r="I6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2">
      <x:c r="A672" s="36" t="str">
        <x:v>mediterranean_europe</x:v>
      </x:c>
      <x:c r="B672" s="30" t="str">
        <x:v>mediterranean-europe-broad-draft-1</x:v>
      </x:c>
      <x:c r="C672" s="30" t="n">
        <x:v>47241</x:v>
      </x:c>
      <x:c r="D672" s="32" t="str">
        <x:v>Eastern Atlantic Trumpetfish</x:v>
      </x:c>
      <x:c r="E672" s="32" t="str">
        <x:v>Aulostomus strigosus</x:v>
      </x:c>
      <x:c r="F672" s="30" t="str">
        <x:v>common</x:v>
      </x:c>
      <x:c r="G672" s="30" t="str">
        <x:v>standard</x:v>
      </x:c>
      <x:c r="H672" s="30" t="str">
        <x:v>year-round</x:v>
      </x:c>
      <x:c r="I6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3">
      <x:c r="A673" s="36" t="str">
        <x:v>mediterranean_europe</x:v>
      </x:c>
      <x:c r="B673" s="30" t="str">
        <x:v>mediterranean-europe-broad-draft-1</x:v>
      </x:c>
      <x:c r="C673" s="30" t="n">
        <x:v>112497</x:v>
      </x:c>
      <x:c r="D673" s="32" t="str">
        <x:v>Blacktail Comber</x:v>
      </x:c>
      <x:c r="E673" s="32" t="str">
        <x:v>Serranus atricauda</x:v>
      </x:c>
      <x:c r="F673" s="30" t="str">
        <x:v>common</x:v>
      </x:c>
      <x:c r="G673" s="30" t="str">
        <x:v>standard</x:v>
      </x:c>
      <x:c r="H673" s="30" t="str">
        <x:v>year-round</x:v>
      </x:c>
      <x:c r="I6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4">
      <x:c r="A674" s="36" t="str">
        <x:v>mediterranean_europe</x:v>
      </x:c>
      <x:c r="B674" s="30" t="str">
        <x:v>mediterranean-europe-broad-draft-1</x:v>
      </x:c>
      <x:c r="C674" s="30" t="n">
        <x:v>49606</x:v>
      </x:c>
      <x:c r="D674" s="32" t="str">
        <x:v>Grey Triggerfish</x:v>
      </x:c>
      <x:c r="E674" s="32" t="str">
        <x:v>Balistes capriscus</x:v>
      </x:c>
      <x:c r="F674" s="30" t="str">
        <x:v>common</x:v>
      </x:c>
      <x:c r="G674" s="30" t="str">
        <x:v>standard</x:v>
      </x:c>
      <x:c r="H674" s="30" t="str">
        <x:v>year-round</x:v>
      </x:c>
      <x:c r="I6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5">
      <x:c r="A675" s="36" t="str">
        <x:v>mediterranean_europe</x:v>
      </x:c>
      <x:c r="B675" s="30" t="str">
        <x:v>mediterranean-europe-broad-draft-1</x:v>
      </x:c>
      <x:c r="C675" s="30" t="n">
        <x:v>113003</x:v>
      </x:c>
      <x:c r="D675" s="32" t="str">
        <x:v>European Chub</x:v>
      </x:c>
      <x:c r="E675" s="32" t="str">
        <x:v>Squalius cephalus</x:v>
      </x:c>
      <x:c r="F675" s="30" t="str">
        <x:v>common</x:v>
      </x:c>
      <x:c r="G675" s="30" t="str">
        <x:v>standard</x:v>
      </x:c>
      <x:c r="H675" s="30" t="str">
        <x:v>year-round</x:v>
      </x:c>
      <x:c r="I6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6">
      <x:c r="A676" s="36" t="str">
        <x:v>mediterranean_europe</x:v>
      </x:c>
      <x:c r="B676" s="30" t="str">
        <x:v>mediterranean-europe-broad-draft-1</x:v>
      </x:c>
      <x:c r="C676" s="30" t="n">
        <x:v>102821</x:v>
      </x:c>
      <x:c r="D676" s="32" t="str">
        <x:v>Long-snouted Seahorse</x:v>
      </x:c>
      <x:c r="E676" s="32" t="str">
        <x:v>Hippocampus guttulatus</x:v>
      </x:c>
      <x:c r="F676" s="30" t="str">
        <x:v>common</x:v>
      </x:c>
      <x:c r="G676" s="30" t="str">
        <x:v>standard</x:v>
      </x:c>
      <x:c r="H676" s="30" t="str">
        <x:v>year-round</x:v>
      </x:c>
      <x:c r="I6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7">
      <x:c r="A677" s="36" t="str">
        <x:v>mediterranean_europe</x:v>
      </x:c>
      <x:c r="B677" s="30" t="str">
        <x:v>mediterranean-europe-broad-draft-1</x:v>
      </x:c>
      <x:c r="C677" s="30" t="n">
        <x:v>120708</x:v>
      </x:c>
      <x:c r="D677" s="32" t="str">
        <x:v>Molly Miller</x:v>
      </x:c>
      <x:c r="E677" s="32" t="str">
        <x:v>Scartella cristata</x:v>
      </x:c>
      <x:c r="F677" s="30" t="str">
        <x:v>common</x:v>
      </x:c>
      <x:c r="G677" s="30" t="str">
        <x:v>standard</x:v>
      </x:c>
      <x:c r="H677" s="30" t="str">
        <x:v>year-round</x:v>
      </x:c>
      <x:c r="I6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8">
      <x:c r="A678" s="36" t="str">
        <x:v>mediterranean_europe</x:v>
      </x:c>
      <x:c r="B678" s="30" t="str">
        <x:v>mediterranean-europe-broad-draft-1</x:v>
      </x:c>
      <x:c r="C678" s="30" t="n">
        <x:v>342041</x:v>
      </x:c>
      <x:c r="D678" s="32" t="str">
        <x:v>Atlantic Damselfish</x:v>
      </x:c>
      <x:c r="E678" s="32" t="str">
        <x:v>Chromis limbata</x:v>
      </x:c>
      <x:c r="F678" s="30" t="str">
        <x:v>common</x:v>
      </x:c>
      <x:c r="G678" s="30" t="str">
        <x:v>standard</x:v>
      </x:c>
      <x:c r="H678" s="30" t="str">
        <x:v>year-round</x:v>
      </x:c>
      <x:c r="I6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79">
      <x:c r="A679" s="36" t="str">
        <x:v>mediterranean_europe</x:v>
      </x:c>
      <x:c r="B679" s="30" t="str">
        <x:v>mediterranean-europe-broad-draft-1</x:v>
      </x:c>
      <x:c r="C679" s="30" t="n">
        <x:v>118683</x:v>
      </x:c>
      <x:c r="D679" s="32" t="str">
        <x:v>Brown Meagre</x:v>
      </x:c>
      <x:c r="E679" s="32" t="str">
        <x:v>Sciaena umbra</x:v>
      </x:c>
      <x:c r="F679" s="30" t="str">
        <x:v>common</x:v>
      </x:c>
      <x:c r="G679" s="30" t="str">
        <x:v>standard</x:v>
      </x:c>
      <x:c r="H679" s="30" t="str">
        <x:v>year-round</x:v>
      </x:c>
      <x:c r="I6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0">
      <x:c r="A680" s="36" t="str">
        <x:v>mediterranean_europe</x:v>
      </x:c>
      <x:c r="B680" s="30" t="str">
        <x:v>mediterranean-europe-broad-draft-1</x:v>
      </x:c>
      <x:c r="C680" s="30" t="n">
        <x:v>113862</x:v>
      </x:c>
      <x:c r="D680" s="32" t="str">
        <x:v>Italian Riffle Dace</x:v>
      </x:c>
      <x:c r="E680" s="32" t="str">
        <x:v>Telestes muticellus</x:v>
      </x:c>
      <x:c r="F680" s="30" t="str">
        <x:v>common</x:v>
      </x:c>
      <x:c r="G680" s="30" t="str">
        <x:v>standard</x:v>
      </x:c>
      <x:c r="H680" s="30" t="str">
        <x:v>year-round</x:v>
      </x:c>
      <x:c r="I6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1">
      <x:c r="A681" s="36" t="str">
        <x:v>mediterranean_europe</x:v>
      </x:c>
      <x:c r="B681" s="30" t="str">
        <x:v>mediterranean-europe-broad-draft-1</x:v>
      </x:c>
      <x:c r="C681" s="30" t="n">
        <x:v>113534</x:v>
      </x:c>
      <x:c r="D681" s="32" t="str">
        <x:v>Ocellated Wrasse</x:v>
      </x:c>
      <x:c r="E681" s="32" t="str">
        <x:v>Symphodus ocellatus</x:v>
      </x:c>
      <x:c r="F681" s="30" t="str">
        <x:v>common</x:v>
      </x:c>
      <x:c r="G681" s="30" t="str">
        <x:v>standard</x:v>
      </x:c>
      <x:c r="H681" s="30" t="str">
        <x:v>year-round</x:v>
      </x:c>
      <x:c r="I6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2">
      <x:c r="A682" s="36" t="str">
        <x:v>mediterranean_europe</x:v>
      </x:c>
      <x:c r="B682" s="30" t="str">
        <x:v>mediterranean-europe-broad-draft-1</x:v>
      </x:c>
      <x:c r="C682" s="30" t="n">
        <x:v>204776</x:v>
      </x:c>
      <x:c r="D682" s="32" t="str">
        <x:v>Silver Trevally</x:v>
      </x:c>
      <x:c r="E682" s="32" t="str">
        <x:v>Pseudocaranx dentex</x:v>
      </x:c>
      <x:c r="F682" s="30" t="str">
        <x:v>uncommon</x:v>
      </x:c>
      <x:c r="G682" s="30" t="str">
        <x:v>standard</x:v>
      </x:c>
      <x:c r="H682" s="30" t="str">
        <x:v>year-round</x:v>
      </x:c>
      <x:c r="I6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3">
      <x:c r="A683" s="36" t="str">
        <x:v>mediterranean_europe</x:v>
      </x:c>
      <x:c r="B683" s="30" t="str">
        <x:v>mediterranean-europe-broad-draft-1</x:v>
      </x:c>
      <x:c r="C683" s="30" t="n">
        <x:v>47516</x:v>
      </x:c>
      <x:c r="D683" s="32" t="str">
        <x:v>Rainbow Trout</x:v>
      </x:c>
      <x:c r="E683" s="32" t="str">
        <x:v>Oncorhynchus mykiss</x:v>
      </x:c>
      <x:c r="F683" s="30" t="str">
        <x:v>uncommon</x:v>
      </x:c>
      <x:c r="G683" s="30" t="str">
        <x:v>standard</x:v>
      </x:c>
      <x:c r="H683" s="30" t="str">
        <x:v>year-round</x:v>
      </x:c>
      <x:c r="I6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4">
      <x:c r="A684" s="36" t="str">
        <x:v>mediterranean_europe</x:v>
      </x:c>
      <x:c r="B684" s="30" t="str">
        <x:v>mediterranean-europe-broad-draft-1</x:v>
      </x:c>
      <x:c r="C684" s="30" t="n">
        <x:v>446216</x:v>
      </x:c>
      <x:c r="D684" s="32" t="str">
        <x:v>Caneva's Blenny</x:v>
      </x:c>
      <x:c r="E684" s="32" t="str">
        <x:v>Microlipophrys canevae</x:v>
      </x:c>
      <x:c r="F684" s="30" t="str">
        <x:v>uncommon</x:v>
      </x:c>
      <x:c r="G684" s="30" t="str">
        <x:v>standard</x:v>
      </x:c>
      <x:c r="H684" s="30" t="str">
        <x:v>year-round</x:v>
      </x:c>
      <x:c r="I6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5">
      <x:c r="A685" s="36" t="str">
        <x:v>mediterranean_europe</x:v>
      </x:c>
      <x:c r="B685" s="30" t="str">
        <x:v>mediterranean-europe-broad-draft-1</x:v>
      </x:c>
      <x:c r="C685" s="30" t="n">
        <x:v>342285</x:v>
      </x:c>
      <x:c r="D685" s="32" t="str">
        <x:v>Lipophrys trigloides</x:v>
      </x:c>
      <x:c r="E685" s="32" t="str">
        <x:v>Lipophrys trigloides</x:v>
      </x:c>
      <x:c r="F685" s="30" t="str">
        <x:v>uncommon</x:v>
      </x:c>
      <x:c r="G685" s="30" t="str">
        <x:v>standard</x:v>
      </x:c>
      <x:c r="H685" s="30" t="str">
        <x:v>year-round</x:v>
      </x:c>
      <x:c r="I6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6">
      <x:c r="A686" s="36" t="str">
        <x:v>mediterranean_europe</x:v>
      </x:c>
      <x:c r="B686" s="30" t="str">
        <x:v>mediterranean-europe-broad-draft-1</x:v>
      </x:c>
      <x:c r="C686" s="30" t="n">
        <x:v>118708</x:v>
      </x:c>
      <x:c r="D686" s="32" t="str">
        <x:v>Bucchich's Goby</x:v>
      </x:c>
      <x:c r="E686" s="32" t="str">
        <x:v>Gobius bucchichi</x:v>
      </x:c>
      <x:c r="F686" s="30" t="str">
        <x:v>uncommon</x:v>
      </x:c>
      <x:c r="G686" s="30" t="str">
        <x:v>standard</x:v>
      </x:c>
      <x:c r="H686" s="30" t="str">
        <x:v>year-round</x:v>
      </x:c>
      <x:c r="I6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7">
      <x:c r="A687" s="36" t="str">
        <x:v>mediterranean_europe</x:v>
      </x:c>
      <x:c r="B687" s="30" t="str">
        <x:v>mediterranean-europe-broad-draft-1</x:v>
      </x:c>
      <x:c r="C687" s="30" t="n">
        <x:v>113533</x:v>
      </x:c>
      <x:c r="D687" s="32" t="str">
        <x:v>Corkwing Wrasse</x:v>
      </x:c>
      <x:c r="E687" s="32" t="str">
        <x:v>Symphodus melops</x:v>
      </x:c>
      <x:c r="F687" s="30" t="str">
        <x:v>uncommon</x:v>
      </x:c>
      <x:c r="G687" s="30" t="str">
        <x:v>standard</x:v>
      </x:c>
      <x:c r="H687" s="30" t="str">
        <x:v>year-round</x:v>
      </x:c>
      <x:c r="I6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8">
      <x:c r="A688" s="36" t="str">
        <x:v>mediterranean_europe</x:v>
      </x:c>
      <x:c r="B688" s="30" t="str">
        <x:v>mediterranean-europe-broad-draft-1</x:v>
      </x:c>
      <x:c r="C688" s="30" t="n">
        <x:v>108196</x:v>
      </x:c>
      <x:c r="D688" s="32" t="str">
        <x:v>Red Porgy</x:v>
      </x:c>
      <x:c r="E688" s="32" t="str">
        <x:v>Pagrus pagrus</x:v>
      </x:c>
      <x:c r="F688" s="30" t="str">
        <x:v>uncommon</x:v>
      </x:c>
      <x:c r="G688" s="30" t="str">
        <x:v>standard</x:v>
      </x:c>
      <x:c r="H688" s="30" t="str">
        <x:v>year-round</x:v>
      </x:c>
      <x:c r="I6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89">
      <x:c r="A689" s="36" t="str">
        <x:v>mediterranean_europe</x:v>
      </x:c>
      <x:c r="B689" s="30" t="str">
        <x:v>mediterranean-europe-broad-draft-1</x:v>
      </x:c>
      <x:c r="C689" s="30" t="n">
        <x:v>106222</x:v>
      </x:c>
      <x:c r="D689" s="32" t="str">
        <x:v>Sea Mullet</x:v>
      </x:c>
      <x:c r="E689" s="32" t="str">
        <x:v>Mugil cephalus</x:v>
      </x:c>
      <x:c r="F689" s="30" t="str">
        <x:v>uncommon</x:v>
      </x:c>
      <x:c r="G689" s="30" t="str">
        <x:v>standard</x:v>
      </x:c>
      <x:c r="H689" s="30" t="str">
        <x:v>year-round</x:v>
      </x:c>
      <x:c r="I6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0">
      <x:c r="A690" s="36" t="str">
        <x:v>mediterranean_europe</x:v>
      </x:c>
      <x:c r="B690" s="30" t="str">
        <x:v>mediterranean-europe-broad-draft-1</x:v>
      </x:c>
      <x:c r="C690" s="30" t="n">
        <x:v>118654</x:v>
      </x:c>
      <x:c r="D690" s="32" t="str">
        <x:v>Dentex</x:v>
      </x:c>
      <x:c r="E690" s="32" t="str">
        <x:v>Dentex dentex</x:v>
      </x:c>
      <x:c r="F690" s="30" t="str">
        <x:v>uncommon</x:v>
      </x:c>
      <x:c r="G690" s="30" t="str">
        <x:v>standard</x:v>
      </x:c>
      <x:c r="H690" s="30" t="str">
        <x:v>year-round</x:v>
      </x:c>
      <x:c r="I6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1">
      <x:c r="A691" s="36" t="str">
        <x:v>mediterranean_europe</x:v>
      </x:c>
      <x:c r="B691" s="30" t="str">
        <x:v>mediterranean-europe-broad-draft-1</x:v>
      </x:c>
      <x:c r="C691" s="30" t="n">
        <x:v>55016</x:v>
      </x:c>
      <x:c r="D691" s="32" t="str">
        <x:v>Flying Gurnard</x:v>
      </x:c>
      <x:c r="E691" s="32" t="str">
        <x:v>Dactylopterus volitans</x:v>
      </x:c>
      <x:c r="F691" s="30" t="str">
        <x:v>uncommon</x:v>
      </x:c>
      <x:c r="G691" s="30" t="str">
        <x:v>standard</x:v>
      </x:c>
      <x:c r="H691" s="30" t="str">
        <x:v>year-round</x:v>
      </x:c>
      <x:c r="I6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2">
      <x:c r="A692" s="36" t="str">
        <x:v>mediterranean_europe</x:v>
      </x:c>
      <x:c r="B692" s="30" t="str">
        <x:v>mediterranean-europe-broad-draft-1</x:v>
      </x:c>
      <x:c r="C692" s="30" t="n">
        <x:v>132526</x:v>
      </x:c>
      <x:c r="D692" s="32" t="str">
        <x:v>Planehead Filefish</x:v>
      </x:c>
      <x:c r="E692" s="32" t="str">
        <x:v>Stephanolepis hispida</x:v>
      </x:c>
      <x:c r="F692" s="30" t="str">
        <x:v>uncommon</x:v>
      </x:c>
      <x:c r="G692" s="30" t="str">
        <x:v>standard</x:v>
      </x:c>
      <x:c r="H692" s="30" t="str">
        <x:v>year-round</x:v>
      </x:c>
      <x:c r="I6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3">
      <x:c r="A693" s="36" t="str">
        <x:v>mediterranean_europe</x:v>
      </x:c>
      <x:c r="B693" s="30" t="str">
        <x:v>mediterranean-europe-broad-draft-1</x:v>
      </x:c>
      <x:c r="C693" s="30" t="n">
        <x:v>113536</x:v>
      </x:c>
      <x:c r="D693" s="32" t="str">
        <x:v>Pointed-snout Wrasse</x:v>
      </x:c>
      <x:c r="E693" s="32" t="str">
        <x:v>Symphodus rostratus</x:v>
      </x:c>
      <x:c r="F693" s="30" t="str">
        <x:v>uncommon</x:v>
      </x:c>
      <x:c r="G693" s="30" t="str">
        <x:v>standard</x:v>
      </x:c>
      <x:c r="H693" s="30" t="str">
        <x:v>year-round</x:v>
      </x:c>
      <x:c r="I6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4">
      <x:c r="A694" s="36" t="str">
        <x:v>mediterranean_europe</x:v>
      </x:c>
      <x:c r="B694" s="30" t="str">
        <x:v>mediterranean-europe-broad-draft-1</x:v>
      </x:c>
      <x:c r="C694" s="30" t="n">
        <x:v>113529</x:v>
      </x:c>
      <x:c r="D694" s="32" t="str">
        <x:v>Grey Wrasse</x:v>
      </x:c>
      <x:c r="E694" s="32" t="str">
        <x:v>Symphodus cinereus</x:v>
      </x:c>
      <x:c r="F694" s="30" t="str">
        <x:v>uncommon</x:v>
      </x:c>
      <x:c r="G694" s="30" t="str">
        <x:v>standard</x:v>
      </x:c>
      <x:c r="H694" s="30" t="str">
        <x:v>year-round</x:v>
      </x:c>
      <x:c r="I6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5">
      <x:c r="A695" s="36" t="str">
        <x:v>mediterranean_europe</x:v>
      </x:c>
      <x:c r="B695" s="30" t="str">
        <x:v>mediterranean-europe-broad-draft-1</x:v>
      </x:c>
      <x:c r="C695" s="30" t="n">
        <x:v>104834</x:v>
      </x:c>
      <x:c r="D695" s="32" t="str">
        <x:v>Iberian Barbel</x:v>
      </x:c>
      <x:c r="E695" s="32" t="str">
        <x:v>Luciobarbus bocagei</x:v>
      </x:c>
      <x:c r="F695" s="30" t="str">
        <x:v>uncommon</x:v>
      </x:c>
      <x:c r="G695" s="30" t="str">
        <x:v>standard</x:v>
      </x:c>
      <x:c r="H695" s="30" t="str">
        <x:v>year-round</x:v>
      </x:c>
      <x:c r="I6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6">
      <x:c r="A696" s="36" t="str">
        <x:v>mediterranean_europe</x:v>
      </x:c>
      <x:c r="B696" s="30" t="str">
        <x:v>mediterranean-europe-broad-draft-1</x:v>
      </x:c>
      <x:c r="C696" s="30" t="n">
        <x:v>108410</x:v>
      </x:c>
      <x:c r="D696" s="32" t="str">
        <x:v>Longstriped Blenny</x:v>
      </x:c>
      <x:c r="E696" s="32" t="str">
        <x:v>Parablennius rouxi</x:v>
      </x:c>
      <x:c r="F696" s="30" t="str">
        <x:v>uncommon</x:v>
      </x:c>
      <x:c r="G696" s="30" t="str">
        <x:v>standard</x:v>
      </x:c>
      <x:c r="H696" s="30" t="str">
        <x:v>year-round</x:v>
      </x:c>
      <x:c r="I6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7">
      <x:c r="A697" s="36" t="str">
        <x:v>mediterranean_europe</x:v>
      </x:c>
      <x:c r="B697" s="30" t="str">
        <x:v>mediterranean-europe-broad-draft-1</x:v>
      </x:c>
      <x:c r="C697" s="30" t="n">
        <x:v>446572</x:v>
      </x:c>
      <x:c r="D697" s="32" t="str">
        <x:v>Flavimaculosus Puffer</x:v>
      </x:c>
      <x:c r="E697" s="32" t="str">
        <x:v>Torquigener flavimaculosus</x:v>
      </x:c>
      <x:c r="F697" s="30" t="str">
        <x:v>uncommon</x:v>
      </x:c>
      <x:c r="G697" s="30" t="str">
        <x:v>standard</x:v>
      </x:c>
      <x:c r="H697" s="30" t="str">
        <x:v>year-round</x:v>
      </x:c>
      <x:c r="I6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8">
      <x:c r="A698" s="36" t="str">
        <x:v>mediterranean_europe</x:v>
      </x:c>
      <x:c r="B698" s="30" t="str">
        <x:v>mediterranean-europe-broad-draft-1</x:v>
      </x:c>
      <x:c r="C698" s="30" t="n">
        <x:v>1316085</x:v>
      </x:c>
      <x:c r="D698" s="32" t="str">
        <x:v>Butterfly-winged Comber</x:v>
      </x:c>
      <x:c r="E698" s="32" t="str">
        <x:v>Serranus papilionaceus</x:v>
      </x:c>
      <x:c r="F698" s="30" t="str">
        <x:v>uncommon</x:v>
      </x:c>
      <x:c r="G698" s="30" t="str">
        <x:v>standard</x:v>
      </x:c>
      <x:c r="H698" s="30" t="str">
        <x:v>year-round</x:v>
      </x:c>
      <x:c r="I6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699">
      <x:c r="A699" s="36" t="str">
        <x:v>mediterranean_europe</x:v>
      </x:c>
      <x:c r="B699" s="30" t="str">
        <x:v>mediterranean-europe-broad-draft-1</x:v>
      </x:c>
      <x:c r="C699" s="30" t="n">
        <x:v>108184</x:v>
      </x:c>
      <x:c r="D699" s="32" t="str">
        <x:v>Padanian Goby</x:v>
      </x:c>
      <x:c r="E699" s="32" t="str">
        <x:v>Padogobius bonelli</x:v>
      </x:c>
      <x:c r="F699" s="30" t="str">
        <x:v>uncommon</x:v>
      </x:c>
      <x:c r="G699" s="30" t="str">
        <x:v>standard</x:v>
      </x:c>
      <x:c r="H699" s="30" t="str">
        <x:v>year-round</x:v>
      </x:c>
      <x:c r="I6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0">
      <x:c r="A700" s="36" t="str">
        <x:v>mediterranean_europe</x:v>
      </x:c>
      <x:c r="B700" s="30" t="str">
        <x:v>mediterranean-europe-broad-draft-1</x:v>
      </x:c>
      <x:c r="C700" s="30" t="n">
        <x:v>118656</x:v>
      </x:c>
      <x:c r="D700" s="32" t="str">
        <x:v>Axillary Seabream</x:v>
      </x:c>
      <x:c r="E700" s="32" t="str">
        <x:v>Pagellus acarne</x:v>
      </x:c>
      <x:c r="F700" s="30" t="str">
        <x:v>uncommon</x:v>
      </x:c>
      <x:c r="G700" s="30" t="str">
        <x:v>standard</x:v>
      </x:c>
      <x:c r="H700" s="30" t="str">
        <x:v>year-round</x:v>
      </x:c>
      <x:c r="I7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1">
      <x:c r="A701" s="36" t="str">
        <x:v>mediterranean_europe</x:v>
      </x:c>
      <x:c r="B701" s="30" t="str">
        <x:v>mediterranean-europe-broad-draft-1</x:v>
      </x:c>
      <x:c r="C701" s="30" t="n">
        <x:v>118672</x:v>
      </x:c>
      <x:c r="D701" s="32" t="str">
        <x:v>Mediterranean Fairy Basslet</x:v>
      </x:c>
      <x:c r="E701" s="32" t="str">
        <x:v>Anthias anthias</x:v>
      </x:c>
      <x:c r="F701" s="30" t="str">
        <x:v>uncommon</x:v>
      </x:c>
      <x:c r="G701" s="30" t="str">
        <x:v>standard</x:v>
      </x:c>
      <x:c r="H701" s="30" t="str">
        <x:v>year-round</x:v>
      </x:c>
      <x:c r="I7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2">
      <x:c r="A702" s="36" t="str">
        <x:v>mediterranean_europe</x:v>
      </x:c>
      <x:c r="B702" s="30" t="str">
        <x:v>mediterranean-europe-broad-draft-1</x:v>
      </x:c>
      <x:c r="C702" s="30" t="n">
        <x:v>1315687</x:v>
      </x:c>
      <x:c r="D702" s="32" t="str">
        <x:v>Balkan Italic Minnow</x:v>
      </x:c>
      <x:c r="E702" s="32" t="str">
        <x:v>Phoxinus lumaireul</x:v>
      </x:c>
      <x:c r="F702" s="30" t="str">
        <x:v>uncommon</x:v>
      </x:c>
      <x:c r="G702" s="30" t="str">
        <x:v>standard</x:v>
      </x:c>
      <x:c r="H702" s="30" t="str">
        <x:v>year-round</x:v>
      </x:c>
      <x:c r="I7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3">
      <x:c r="A703" s="36" t="str">
        <x:v>mediterranean_europe</x:v>
      </x:c>
      <x:c r="B703" s="30" t="str">
        <x:v>mediterranean-europe-broad-draft-1</x:v>
      </x:c>
      <x:c r="C703" s="30" t="n">
        <x:v>103911</x:v>
      </x:c>
      <x:c r="D703" s="32" t="str">
        <x:v>Ballan Wrasse</x:v>
      </x:c>
      <x:c r="E703" s="32" t="str">
        <x:v>Labrus bergylta</x:v>
      </x:c>
      <x:c r="F703" s="30" t="str">
        <x:v>uncommon</x:v>
      </x:c>
      <x:c r="G703" s="30" t="str">
        <x:v>standard</x:v>
      </x:c>
      <x:c r="H703" s="30" t="str">
        <x:v>year-round</x:v>
      </x:c>
      <x:c r="I7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4">
      <x:c r="A704" s="36" t="str">
        <x:v>mediterranean_europe</x:v>
      </x:c>
      <x:c r="B704" s="30" t="str">
        <x:v>mediterranean-europe-broad-draft-1</x:v>
      </x:c>
      <x:c r="C704" s="30" t="n">
        <x:v>82278</x:v>
      </x:c>
      <x:c r="D704" s="32" t="str">
        <x:v>Black Bullhead</x:v>
      </x:c>
      <x:c r="E704" s="32" t="str">
        <x:v>Ameiurus melas</x:v>
      </x:c>
      <x:c r="F704" s="30" t="str">
        <x:v>uncommon</x:v>
      </x:c>
      <x:c r="G704" s="30" t="str">
        <x:v>standard</x:v>
      </x:c>
      <x:c r="H704" s="30" t="str">
        <x:v>year-round</x:v>
      </x:c>
      <x:c r="I7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5">
      <x:c r="A705" s="36" t="str">
        <x:v>mediterranean_europe</x:v>
      </x:c>
      <x:c r="B705" s="30" t="str">
        <x:v>mediterranean-europe-broad-draft-1</x:v>
      </x:c>
      <x:c r="C705" s="30" t="n">
        <x:v>57399</x:v>
      </x:c>
      <x:c r="D705" s="32" t="str">
        <x:v>Blue-spotted Cornetfish</x:v>
      </x:c>
      <x:c r="E705" s="32" t="str">
        <x:v>Fistularia commersonii</x:v>
      </x:c>
      <x:c r="F705" s="30" t="str">
        <x:v>uncommon</x:v>
      </x:c>
      <x:c r="G705" s="30" t="str">
        <x:v>standard</x:v>
      </x:c>
      <x:c r="H705" s="30" t="str">
        <x:v>year-round</x:v>
      </x:c>
      <x:c r="I7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6">
      <x:c r="A706" s="36" t="str">
        <x:v>mediterranean_europe</x:v>
      </x:c>
      <x:c r="B706" s="30" t="str">
        <x:v>mediterranean-europe-broad-draft-1</x:v>
      </x:c>
      <x:c r="C706" s="30" t="n">
        <x:v>118673</x:v>
      </x:c>
      <x:c r="D706" s="32" t="str">
        <x:v>Brown Comber</x:v>
      </x:c>
      <x:c r="E706" s="32" t="str">
        <x:v>Serranus hepatus</x:v>
      </x:c>
      <x:c r="F706" s="30" t="str">
        <x:v>uncommon</x:v>
      </x:c>
      <x:c r="G706" s="30" t="str">
        <x:v>standard</x:v>
      </x:c>
      <x:c r="H706" s="30" t="str">
        <x:v>year-round</x:v>
      </x:c>
      <x:c r="I7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7">
      <x:c r="A707" s="36" t="str">
        <x:v>mediterranean_europe</x:v>
      </x:c>
      <x:c r="B707" s="30" t="str">
        <x:v>mediterranean-europe-broad-draft-1</x:v>
      </x:c>
      <x:c r="C707" s="30" t="n">
        <x:v>359362</x:v>
      </x:c>
      <x:c r="D707" s="32" t="str">
        <x:v>Red Sea Goatfish</x:v>
      </x:c>
      <x:c r="E707" s="32" t="str">
        <x:v>Parupeneus forsskali</x:v>
      </x:c>
      <x:c r="F707" s="30" t="str">
        <x:v>uncommon</x:v>
      </x:c>
      <x:c r="G707" s="30" t="str">
        <x:v>standard</x:v>
      </x:c>
      <x:c r="H707" s="30" t="str">
        <x:v>year-round</x:v>
      </x:c>
      <x:c r="I7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8">
      <x:c r="A708" s="36" t="str">
        <x:v>mediterranean_europe</x:v>
      </x:c>
      <x:c r="B708" s="30" t="str">
        <x:v>mediterranean-europe-broad-draft-1</x:v>
      </x:c>
      <x:c r="C708" s="30" t="n">
        <x:v>55387</x:v>
      </x:c>
      <x:c r="D708" s="32" t="str">
        <x:v>Northern Pike</x:v>
      </x:c>
      <x:c r="E708" s="32" t="str">
        <x:v>Esox lucius</x:v>
      </x:c>
      <x:c r="F708" s="30" t="str">
        <x:v>uncommon</x:v>
      </x:c>
      <x:c r="G708" s="30" t="str">
        <x:v>standard</x:v>
      </x:c>
      <x:c r="H708" s="30" t="str">
        <x:v>year-round</x:v>
      </x:c>
      <x:c r="I7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09">
      <x:c r="A709" s="36" t="str">
        <x:v>mediterranean_europe</x:v>
      </x:c>
      <x:c r="B709" s="30" t="str">
        <x:v>mediterranean-europe-broad-draft-1</x:v>
      </x:c>
      <x:c r="C709" s="30" t="n">
        <x:v>342089</x:v>
      </x:c>
      <x:c r="D709" s="32" t="str">
        <x:v>Black Moray</x:v>
      </x:c>
      <x:c r="E709" s="32" t="str">
        <x:v>Muraena augusti</x:v>
      </x:c>
      <x:c r="F709" s="30" t="str">
        <x:v>uncommon</x:v>
      </x:c>
      <x:c r="G709" s="30" t="str">
        <x:v>standard</x:v>
      </x:c>
      <x:c r="H709" s="30" t="str">
        <x:v>year-round</x:v>
      </x:c>
      <x:c r="I7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0">
      <x:c r="A710" s="36" t="str">
        <x:v>mediterranean_europe</x:v>
      </x:c>
      <x:c r="B710" s="30" t="str">
        <x:v>mediterranean-europe-broad-draft-1</x:v>
      </x:c>
      <x:c r="C710" s="30" t="n">
        <x:v>347725</x:v>
      </x:c>
      <x:c r="D710" s="32" t="str">
        <x:v>Salt Blenny</x:v>
      </x:c>
      <x:c r="E710" s="32" t="str">
        <x:v>Parablennius salensis</x:v>
      </x:c>
      <x:c r="F710" s="30" t="str">
        <x:v>uncommon</x:v>
      </x:c>
      <x:c r="G710" s="30" t="str">
        <x:v>standard</x:v>
      </x:c>
      <x:c r="H710" s="30" t="str">
        <x:v>year-round</x:v>
      </x:c>
      <x:c r="I7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1">
      <x:c r="A711" s="36" t="str">
        <x:v>mediterranean_europe</x:v>
      </x:c>
      <x:c r="B711" s="30" t="str">
        <x:v>mediterranean-europe-broad-draft-1</x:v>
      </x:c>
      <x:c r="C711" s="30" t="n">
        <x:v>118659</x:v>
      </x:c>
      <x:c r="D711" s="32" t="str">
        <x:v>Common Pandora</x:v>
      </x:c>
      <x:c r="E711" s="32" t="str">
        <x:v>Pagellus erythrinus</x:v>
      </x:c>
      <x:c r="F711" s="30" t="str">
        <x:v>uncommon</x:v>
      </x:c>
      <x:c r="G711" s="30" t="str">
        <x:v>standard</x:v>
      </x:c>
      <x:c r="H711" s="30" t="str">
        <x:v>year-round</x:v>
      </x:c>
      <x:c r="I7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2">
      <x:c r="A712" s="36" t="str">
        <x:v>mediterranean_europe</x:v>
      </x:c>
      <x:c r="B712" s="30" t="str">
        <x:v>mediterranean-europe-broad-draft-1</x:v>
      </x:c>
      <x:c r="C712" s="30" t="n">
        <x:v>118641</x:v>
      </x:c>
      <x:c r="D712" s="32" t="str">
        <x:v>Atlantic Stargazer</x:v>
      </x:c>
      <x:c r="E712" s="32" t="str">
        <x:v>Uranoscopus scaber</x:v>
      </x:c>
      <x:c r="F712" s="30" t="str">
        <x:v>uncommon</x:v>
      </x:c>
      <x:c r="G712" s="30" t="str">
        <x:v>standard</x:v>
      </x:c>
      <x:c r="H712" s="30" t="str">
        <x:v>year-round</x:v>
      </x:c>
      <x:c r="I7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3">
      <x:c r="A713" s="36" t="str">
        <x:v>mediterranean_europe</x:v>
      </x:c>
      <x:c r="B713" s="30" t="str">
        <x:v>mediterranean-europe-broad-draft-1</x:v>
      </x:c>
      <x:c r="C713" s="30" t="n">
        <x:v>118618</x:v>
      </x:c>
      <x:c r="D713" s="32" t="str">
        <x:v>Red Mullet</x:v>
      </x:c>
      <x:c r="E713" s="32" t="str">
        <x:v>Mullus barbatus</x:v>
      </x:c>
      <x:c r="F713" s="30" t="str">
        <x:v>uncommon</x:v>
      </x:c>
      <x:c r="G713" s="30" t="str">
        <x:v>standard</x:v>
      </x:c>
      <x:c r="H713" s="30" t="str">
        <x:v>year-round</x:v>
      </x:c>
      <x:c r="I7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4">
      <x:c r="A714" s="36" t="str">
        <x:v>mediterranean_europe</x:v>
      </x:c>
      <x:c r="B714" s="30" t="str">
        <x:v>mediterranean-europe-broad-draft-1</x:v>
      </x:c>
      <x:c r="C714" s="30" t="n">
        <x:v>110029</x:v>
      </x:c>
      <x:c r="D714" s="32" t="str">
        <x:v>Bastard Grunt</x:v>
      </x:c>
      <x:c r="E714" s="32" t="str">
        <x:v>Pomadasys incisus</x:v>
      </x:c>
      <x:c r="F714" s="30" t="str">
        <x:v>uncommon</x:v>
      </x:c>
      <x:c r="G714" s="30" t="str">
        <x:v>standard</x:v>
      </x:c>
      <x:c r="H714" s="30" t="str">
        <x:v>year-round</x:v>
      </x:c>
      <x:c r="I7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5">
      <x:c r="A715" s="36" t="str">
        <x:v>mediterranean_europe</x:v>
      </x:c>
      <x:c r="B715" s="30" t="str">
        <x:v>mediterranean-europe-broad-draft-1</x:v>
      </x:c>
      <x:c r="C715" s="30" t="n">
        <x:v>118595</x:v>
      </x:c>
      <x:c r="D715" s="32" t="str">
        <x:v>Southern Sand Smelt</x:v>
      </x:c>
      <x:c r="E715" s="32" t="str">
        <x:v>Atherina hepsetus</x:v>
      </x:c>
      <x:c r="F715" s="30" t="str">
        <x:v>uncommon</x:v>
      </x:c>
      <x:c r="G715" s="30" t="str">
        <x:v>standard</x:v>
      </x:c>
      <x:c r="H715" s="30" t="str">
        <x:v>year-round</x:v>
      </x:c>
      <x:c r="I7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6">
      <x:c r="A716" s="36" t="str">
        <x:v>mediterranean_europe</x:v>
      </x:c>
      <x:c r="B716" s="30" t="str">
        <x:v>mediterranean-europe-broad-draft-1</x:v>
      </x:c>
      <x:c r="C716" s="30" t="n">
        <x:v>93611</x:v>
      </x:c>
      <x:c r="D716" s="32" t="str">
        <x:v>Bleak</x:v>
      </x:c>
      <x:c r="E716" s="32" t="str">
        <x:v>Alburnus alburnus</x:v>
      </x:c>
      <x:c r="F716" s="30" t="str">
        <x:v>uncommon</x:v>
      </x:c>
      <x:c r="G716" s="30" t="str">
        <x:v>standard</x:v>
      </x:c>
      <x:c r="H716" s="30" t="str">
        <x:v>year-round</x:v>
      </x:c>
      <x:c r="I7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7">
      <x:c r="A717" s="36" t="str">
        <x:v>mediterranean_europe</x:v>
      </x:c>
      <x:c r="B717" s="30" t="str">
        <x:v>mediterranean-europe-broad-draft-1</x:v>
      </x:c>
      <x:c r="C717" s="30" t="n">
        <x:v>120641</x:v>
      </x:c>
      <x:c r="D717" s="32" t="str">
        <x:v>Bandtooth Conger</x:v>
      </x:c>
      <x:c r="E717" s="32" t="str">
        <x:v>Ariosoma balearicum</x:v>
      </x:c>
      <x:c r="F717" s="30" t="str">
        <x:v>uncommon</x:v>
      </x:c>
      <x:c r="G717" s="30" t="str">
        <x:v>standard</x:v>
      </x:c>
      <x:c r="H717" s="30" t="str">
        <x:v>year-round</x:v>
      </x:c>
      <x:c r="I7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8">
      <x:c r="A718" s="36" t="str">
        <x:v>mediterranean_europe</x:v>
      </x:c>
      <x:c r="B718" s="30" t="str">
        <x:v>mediterranean-europe-broad-draft-1</x:v>
      </x:c>
      <x:c r="C718" s="30" t="n">
        <x:v>118614</x:v>
      </x:c>
      <x:c r="D718" s="32" t="str">
        <x:v>Forkbeard</x:v>
      </x:c>
      <x:c r="E718" s="32" t="str">
        <x:v>Phycis phycis</x:v>
      </x:c>
      <x:c r="F718" s="30" t="str">
        <x:v>uncommon</x:v>
      </x:c>
      <x:c r="G718" s="30" t="str">
        <x:v>standard</x:v>
      </x:c>
      <x:c r="H718" s="30" t="str">
        <x:v>year-round</x:v>
      </x:c>
      <x:c r="I7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19">
      <x:c r="A719" s="36" t="str">
        <x:v>mediterranean_europe</x:v>
      </x:c>
      <x:c r="B719" s="30" t="str">
        <x:v>mediterranean-europe-broad-draft-1</x:v>
      </x:c>
      <x:c r="C719" s="30" t="n">
        <x:v>96740</x:v>
      </x:c>
      <x:c r="D719" s="32" t="str">
        <x:v>Blue Runner</x:v>
      </x:c>
      <x:c r="E719" s="32" t="str">
        <x:v>Caranx crysos</x:v>
      </x:c>
      <x:c r="F719" s="30" t="str">
        <x:v>uncommon</x:v>
      </x:c>
      <x:c r="G719" s="30" t="str">
        <x:v>standard</x:v>
      </x:c>
      <x:c r="H719" s="30" t="str">
        <x:v>year-round</x:v>
      </x:c>
      <x:c r="I7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0">
      <x:c r="A720" s="36" t="str">
        <x:v>mediterranean_europe</x:v>
      </x:c>
      <x:c r="B720" s="30" t="str">
        <x:v>mediterranean-europe-broad-draft-1</x:v>
      </x:c>
      <x:c r="C720" s="30" t="n">
        <x:v>1649739</x:v>
      </x:c>
      <x:c r="D720" s="32" t="str">
        <x:v>Canary Goby</x:v>
      </x:c>
      <x:c r="E720" s="32" t="str">
        <x:v>Wheelerigobius canariensis</x:v>
      </x:c>
      <x:c r="F720" s="30" t="str">
        <x:v>rare</x:v>
      </x:c>
      <x:c r="G720" s="30" t="str">
        <x:v>standard</x:v>
      </x:c>
      <x:c r="H720" s="30" t="str">
        <x:v>year-round</x:v>
      </x:c>
      <x:c r="I7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1">
      <x:c r="A721" s="36" t="str">
        <x:v>mediterranean_europe</x:v>
      </x:c>
      <x:c r="B721" s="30" t="str">
        <x:v>mediterranean-europe-broad-draft-1</x:v>
      </x:c>
      <x:c r="C721" s="30" t="n">
        <x:v>101620</x:v>
      </x:c>
      <x:c r="D721" s="32" t="str">
        <x:v>Sarato's Goby</x:v>
      </x:c>
      <x:c r="E721" s="32" t="str">
        <x:v>Gobius fallax</x:v>
      </x:c>
      <x:c r="F721" s="30" t="str">
        <x:v>rare</x:v>
      </x:c>
      <x:c r="G721" s="30" t="str">
        <x:v>standard</x:v>
      </x:c>
      <x:c r="H721" s="30" t="str">
        <x:v>year-round</x:v>
      </x:c>
      <x:c r="I7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2">
      <x:c r="A722" s="36" t="str">
        <x:v>mediterranean_europe</x:v>
      </x:c>
      <x:c r="B722" s="30" t="str">
        <x:v>mediterranean-europe-broad-draft-1</x:v>
      </x:c>
      <x:c r="C722" s="30" t="n">
        <x:v>109062</x:v>
      </x:c>
      <x:c r="D722" s="32" t="str">
        <x:v>European Perch</x:v>
      </x:c>
      <x:c r="E722" s="32" t="str">
        <x:v>Perca fluviatilis</x:v>
      </x:c>
      <x:c r="F722" s="30" t="str">
        <x:v>rare</x:v>
      </x:c>
      <x:c r="G722" s="30" t="str">
        <x:v>standard</x:v>
      </x:c>
      <x:c r="H722" s="30" t="str">
        <x:v>year-round</x:v>
      </x:c>
      <x:c r="I7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3">
      <x:c r="A723" s="36" t="str">
        <x:v>mediterranean_europe</x:v>
      </x:c>
      <x:c r="B723" s="30" t="str">
        <x:v>mediterranean-europe-broad-draft-1</x:v>
      </x:c>
      <x:c r="C723" s="30" t="n">
        <x:v>338050</x:v>
      </x:c>
      <x:c r="D723" s="32" t="str">
        <x:v>Marbled Goby</x:v>
      </x:c>
      <x:c r="E723" s="32" t="str">
        <x:v>Pomatoschistus marmoratus</x:v>
      </x:c>
      <x:c r="F723" s="30" t="str">
        <x:v>rare</x:v>
      </x:c>
      <x:c r="G723" s="30" t="str">
        <x:v>standard</x:v>
      </x:c>
      <x:c r="H723" s="30" t="str">
        <x:v>year-round</x:v>
      </x:c>
      <x:c r="I7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4">
      <x:c r="A724" s="36" t="str">
        <x:v>mediterranean_europe</x:v>
      </x:c>
      <x:c r="B724" s="30" t="str">
        <x:v>mediterranean-europe-broad-draft-1</x:v>
      </x:c>
      <x:c r="C724" s="30" t="n">
        <x:v>424997</x:v>
      </x:c>
      <x:c r="D724" s="32" t="str">
        <x:v>Prussian Carp</x:v>
      </x:c>
      <x:c r="E724" s="32" t="str">
        <x:v>Carassius gibelio</x:v>
      </x:c>
      <x:c r="F724" s="30" t="str">
        <x:v>rare</x:v>
      </x:c>
      <x:c r="G724" s="30" t="str">
        <x:v>standard</x:v>
      </x:c>
      <x:c r="H724" s="30" t="str">
        <x:v>year-round</x:v>
      </x:c>
      <x:c r="I7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5">
      <x:c r="A725" s="36" t="str">
        <x:v>mediterranean_europe</x:v>
      </x:c>
      <x:c r="B725" s="30" t="str">
        <x:v>mediterranean-europe-broad-draft-1</x:v>
      </x:c>
      <x:c r="C725" s="30" t="n">
        <x:v>446242</x:v>
      </x:c>
      <x:c r="D725" s="32" t="str">
        <x:v>Worm Pipefish</x:v>
      </x:c>
      <x:c r="E725" s="32" t="str">
        <x:v>Nerophis lumbriciformis</x:v>
      </x:c>
      <x:c r="F725" s="30" t="str">
        <x:v>rare</x:v>
      </x:c>
      <x:c r="G725" s="30" t="str">
        <x:v>standard</x:v>
      </x:c>
      <x:c r="H725" s="30" t="str">
        <x:v>year-round</x:v>
      </x:c>
      <x:c r="I7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6">
      <x:c r="A726" s="36" t="str">
        <x:v>mediterranean_europe</x:v>
      </x:c>
      <x:c r="B726" s="30" t="str">
        <x:v>mediterranean-europe-broad-draft-1</x:v>
      </x:c>
      <x:c r="C726" s="30" t="n">
        <x:v>112581</x:v>
      </x:c>
      <x:c r="D726" s="32" t="str">
        <x:v>Wels Catfish</x:v>
      </x:c>
      <x:c r="E726" s="32" t="str">
        <x:v>Silurus glanis</x:v>
      </x:c>
      <x:c r="F726" s="30" t="str">
        <x:v>rare</x:v>
      </x:c>
      <x:c r="G726" s="30" t="str">
        <x:v>standard</x:v>
      </x:c>
      <x:c r="H726" s="30" t="str">
        <x:v>year-round</x:v>
      </x:c>
      <x:c r="I7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7">
      <x:c r="A727" s="36" t="str">
        <x:v>mediterranean_europe</x:v>
      </x:c>
      <x:c r="B727" s="30" t="str">
        <x:v>mediterranean-europe-broad-draft-1</x:v>
      </x:c>
      <x:c r="C727" s="30" t="n">
        <x:v>118597</x:v>
      </x:c>
      <x:c r="D727" s="32" t="str">
        <x:v>Garfish</x:v>
      </x:c>
      <x:c r="E727" s="32" t="str">
        <x:v>Belone belone</x:v>
      </x:c>
      <x:c r="F727" s="30" t="str">
        <x:v>rare</x:v>
      </x:c>
      <x:c r="G727" s="30" t="str">
        <x:v>standard</x:v>
      </x:c>
      <x:c r="H727" s="30" t="str">
        <x:v>year-round</x:v>
      </x:c>
      <x:c r="I7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8">
      <x:c r="A728" s="36" t="str">
        <x:v>mediterranean_europe</x:v>
      </x:c>
      <x:c r="B728" s="30" t="str">
        <x:v>mediterranean-europe-broad-draft-1</x:v>
      </x:c>
      <x:c r="C728" s="30" t="n">
        <x:v>118606</x:v>
      </x:c>
      <x:c r="D728" s="32" t="str">
        <x:v>Connemarra Clingfish</x:v>
      </x:c>
      <x:c r="E728" s="32" t="str">
        <x:v>Lepadogaster candolii</x:v>
      </x:c>
      <x:c r="F728" s="30" t="str">
        <x:v>rare</x:v>
      </x:c>
      <x:c r="G728" s="30" t="str">
        <x:v>standard</x:v>
      </x:c>
      <x:c r="H728" s="30" t="str">
        <x:v>year-round</x:v>
      </x:c>
      <x:c r="I7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29">
      <x:c r="A729" s="36" t="str">
        <x:v>mediterranean_europe</x:v>
      </x:c>
      <x:c r="B729" s="30" t="str">
        <x:v>mediterranean-europe-broad-draft-1</x:v>
      </x:c>
      <x:c r="C729" s="30" t="n">
        <x:v>131500</x:v>
      </x:c>
      <x:c r="D729" s="32" t="str">
        <x:v>Goldspot Goby</x:v>
      </x:c>
      <x:c r="E729" s="32" t="str">
        <x:v>Gnatholepis thompsoni</x:v>
      </x:c>
      <x:c r="F729" s="30" t="str">
        <x:v>rare</x:v>
      </x:c>
      <x:c r="G729" s="30" t="str">
        <x:v>standard</x:v>
      </x:c>
      <x:c r="H729" s="30" t="str">
        <x:v>year-round</x:v>
      </x:c>
      <x:c r="I7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0">
      <x:c r="A730" s="36" t="str">
        <x:v>mediterranean_europe</x:v>
      </x:c>
      <x:c r="B730" s="30" t="str">
        <x:v>mediterranean-europe-broad-draft-1</x:v>
      </x:c>
      <x:c r="C730" s="30" t="n">
        <x:v>102809</x:v>
      </x:c>
      <x:c r="D730" s="32" t="str">
        <x:v>West African Seahorse</x:v>
      </x:c>
      <x:c r="E730" s="32" t="str">
        <x:v>Hippocampus algiricus</x:v>
      </x:c>
      <x:c r="F730" s="30" t="str">
        <x:v>rare</x:v>
      </x:c>
      <x:c r="G730" s="30" t="str">
        <x:v>standard</x:v>
      </x:c>
      <x:c r="H730" s="30" t="str">
        <x:v>year-round</x:v>
      </x:c>
      <x:c r="I7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1">
      <x:c r="A731" s="36" t="str">
        <x:v>mediterranean_europe</x:v>
      </x:c>
      <x:c r="B731" s="30" t="str">
        <x:v>mediterranean-europe-broad-draft-1</x:v>
      </x:c>
      <x:c r="C731" s="30" t="n">
        <x:v>118591</x:v>
      </x:c>
      <x:c r="D731" s="32" t="str">
        <x:v>Brown Moray</x:v>
      </x:c>
      <x:c r="E731" s="32" t="str">
        <x:v>Gymnothorax unicolor</x:v>
      </x:c>
      <x:c r="F731" s="30" t="str">
        <x:v>rare</x:v>
      </x:c>
      <x:c r="G731" s="30" t="str">
        <x:v>standard</x:v>
      </x:c>
      <x:c r="H731" s="30" t="str">
        <x:v>year-round</x:v>
      </x:c>
      <x:c r="I7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2">
      <x:c r="A732" s="36" t="str">
        <x:v>mediterranean_europe</x:v>
      </x:c>
      <x:c r="B732" s="30" t="str">
        <x:v>mediterranean-europe-broad-draft-1</x:v>
      </x:c>
      <x:c r="C732" s="30" t="n">
        <x:v>101591</x:v>
      </x:c>
      <x:c r="D732" s="32" t="str">
        <x:v>Pyrenean Gudgeon</x:v>
      </x:c>
      <x:c r="E732" s="32" t="str">
        <x:v>Gobio lozanoi</x:v>
      </x:c>
      <x:c r="F732" s="30" t="str">
        <x:v>rare</x:v>
      </x:c>
      <x:c r="G732" s="30" t="str">
        <x:v>standard</x:v>
      </x:c>
      <x:c r="H732" s="30" t="str">
        <x:v>year-round</x:v>
      </x:c>
      <x:c r="I7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3">
      <x:c r="A733" s="36" t="str">
        <x:v>mediterranean_europe</x:v>
      </x:c>
      <x:c r="B733" s="30" t="str">
        <x:v>mediterranean-europe-broad-draft-1</x:v>
      </x:c>
      <x:c r="C733" s="30" t="n">
        <x:v>93140</x:v>
      </x:c>
      <x:c r="D733" s="32" t="str">
        <x:v>Ruivaco</x:v>
      </x:c>
      <x:c r="E733" s="32" t="str">
        <x:v>Achondrostoma oligolepis</x:v>
      </x:c>
      <x:c r="F733" s="30" t="str">
        <x:v>rare</x:v>
      </x:c>
      <x:c r="G733" s="30" t="str">
        <x:v>standard</x:v>
      </x:c>
      <x:c r="H733" s="30" t="str">
        <x:v>year-round</x:v>
      </x:c>
      <x:c r="I7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4">
      <x:c r="A734" s="36" t="str">
        <x:v>mediterranean_europe</x:v>
      </x:c>
      <x:c r="B734" s="30" t="str">
        <x:v>mediterranean-europe-broad-draft-1</x:v>
      </x:c>
      <x:c r="C734" s="30" t="n">
        <x:v>446588</x:v>
      </x:c>
      <x:c r="D734" s="32" t="str">
        <x:v>Tripterygion tartessicum</x:v>
      </x:c>
      <x:c r="E734" s="32" t="str">
        <x:v>Tripterygion tartessicum</x:v>
      </x:c>
      <x:c r="F734" s="30" t="str">
        <x:v>rare</x:v>
      </x:c>
      <x:c r="G734" s="30" t="str">
        <x:v>standard</x:v>
      </x:c>
      <x:c r="H734" s="30" t="str">
        <x:v>year-round</x:v>
      </x:c>
      <x:c r="I7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5">
      <x:c r="A735" s="36" t="str">
        <x:v>mediterranean_europe</x:v>
      </x:c>
      <x:c r="B735" s="30" t="str">
        <x:v>mediterranean-europe-broad-draft-1</x:v>
      </x:c>
      <x:c r="C735" s="30" t="n">
        <x:v>118711</x:v>
      </x:c>
      <x:c r="D735" s="32" t="str">
        <x:v>Blotched Picarel</x:v>
      </x:c>
      <x:c r="E735" s="32" t="str">
        <x:v>Spicara maena</x:v>
      </x:c>
      <x:c r="F735" s="30" t="str">
        <x:v>rare</x:v>
      </x:c>
      <x:c r="G735" s="30" t="str">
        <x:v>standard</x:v>
      </x:c>
      <x:c r="H735" s="30" t="str">
        <x:v>year-round</x:v>
      </x:c>
      <x:c r="I7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6">
      <x:c r="A736" s="36" t="str">
        <x:v>mediterranean_europe</x:v>
      </x:c>
      <x:c r="B736" s="30" t="str">
        <x:v>mediterranean-europe-broad-draft-1</x:v>
      </x:c>
      <x:c r="C736" s="30" t="n">
        <x:v>118625</x:v>
      </x:c>
      <x:c r="D736" s="32" t="str">
        <x:v>Broadnosed Pipefish</x:v>
      </x:c>
      <x:c r="E736" s="32" t="str">
        <x:v>Syngnathus typhle</x:v>
      </x:c>
      <x:c r="F736" s="30" t="str">
        <x:v>rare</x:v>
      </x:c>
      <x:c r="G736" s="30" t="str">
        <x:v>standard</x:v>
      </x:c>
      <x:c r="H736" s="30" t="str">
        <x:v>year-round</x:v>
      </x:c>
      <x:c r="I7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7">
      <x:c r="A737" s="36" t="str">
        <x:v>mediterranean_europe</x:v>
      </x:c>
      <x:c r="B737" s="30" t="str">
        <x:v>mediterranean-europe-broad-draft-1</x:v>
      </x:c>
      <x:c r="C737" s="30" t="n">
        <x:v>359902</x:v>
      </x:c>
      <x:c r="D737" s="32" t="str">
        <x:v>Emerald Wrasse</x:v>
      </x:c>
      <x:c r="E737" s="32" t="str">
        <x:v>Symphodus trutta</x:v>
      </x:c>
      <x:c r="F737" s="30" t="str">
        <x:v>rare</x:v>
      </x:c>
      <x:c r="G737" s="30" t="str">
        <x:v>standard</x:v>
      </x:c>
      <x:c r="H737" s="30" t="str">
        <x:v>year-round</x:v>
      </x:c>
      <x:c r="I7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8">
      <x:c r="A738" s="36" t="str">
        <x:v>mediterranean_europe</x:v>
      </x:c>
      <x:c r="B738" s="30" t="str">
        <x:v>mediterranean-europe-broad-draft-1</x:v>
      </x:c>
      <x:c r="C738" s="30" t="n">
        <x:v>187316</x:v>
      </x:c>
      <x:c r="D738" s="32" t="str">
        <x:v>Amur Carp</x:v>
      </x:c>
      <x:c r="E738" s="32" t="str">
        <x:v>Cyprinus rubrofuscus</x:v>
      </x:c>
      <x:c r="F738" s="30" t="str">
        <x:v>very_rare</x:v>
      </x:c>
      <x:c r="G738" s="30" t="str">
        <x:v>standard</x:v>
      </x:c>
      <x:c r="H738" s="30" t="str">
        <x:v>year-round</x:v>
      </x:c>
      <x:c r="I7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39">
      <x:c r="A739" s="36" t="str">
        <x:v>mediterranean_europe</x:v>
      </x:c>
      <x:c r="B739" s="30" t="str">
        <x:v>mediterranean-europe-broad-draft-1</x:v>
      </x:c>
      <x:c r="C739" s="30" t="n">
        <x:v>118880</x:v>
      </x:c>
      <x:c r="D739" s="32" t="str">
        <x:v>Topmouth Gudgeon</x:v>
      </x:c>
      <x:c r="E739" s="32" t="str">
        <x:v>Pseudorasbora parva</x:v>
      </x:c>
      <x:c r="F739" s="30" t="str">
        <x:v>very_rare</x:v>
      </x:c>
      <x:c r="G739" s="30" t="str">
        <x:v>standard</x:v>
      </x:c>
      <x:c r="H739" s="30" t="str">
        <x:v>year-round</x:v>
      </x:c>
      <x:c r="I7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0">
      <x:c r="A740" s="36" t="str">
        <x:v>mediterranean_europe</x:v>
      </x:c>
      <x:c r="B740" s="30" t="str">
        <x:v>mediterranean-europe-broad-draft-1</x:v>
      </x:c>
      <x:c r="C740" s="30" t="n">
        <x:v>472138</x:v>
      </x:c>
      <x:c r="D740" s="32" t="str">
        <x:v>Shore Clingfish</x:v>
      </x:c>
      <x:c r="E740" s="32" t="str">
        <x:v>Lepadogaster lepadogaster</x:v>
      </x:c>
      <x:c r="F740" s="30" t="str">
        <x:v>very_rare</x:v>
      </x:c>
      <x:c r="G740" s="30" t="str">
        <x:v>standard</x:v>
      </x:c>
      <x:c r="H740" s="30" t="str">
        <x:v>year-round</x:v>
      </x:c>
      <x:c r="I7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1">
      <x:c r="A741" s="36" t="str">
        <x:v>mediterranean_europe</x:v>
      </x:c>
      <x:c r="B741" s="30" t="str">
        <x:v>mediterranean-europe-broad-draft-1</x:v>
      </x:c>
      <x:c r="C741" s="30" t="n">
        <x:v>187675</x:v>
      </x:c>
      <x:c r="D741" s="32" t="str">
        <x:v>Dalmatian Blenny</x:v>
      </x:c>
      <x:c r="E741" s="32" t="str">
        <x:v>Microlipophrys dalmatinus</x:v>
      </x:c>
      <x:c r="F741" s="30" t="str">
        <x:v>very_rare</x:v>
      </x:c>
      <x:c r="G741" s="30" t="str">
        <x:v>standard</x:v>
      </x:c>
      <x:c r="H741" s="30" t="str">
        <x:v>year-round</x:v>
      </x:c>
      <x:c r="I7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2">
      <x:c r="A742" s="36" t="str">
        <x:v>mediterranean_europe</x:v>
      </x:c>
      <x:c r="B742" s="30" t="str">
        <x:v>mediterranean-europe-broad-draft-1</x:v>
      </x:c>
      <x:c r="C742" s="30" t="n">
        <x:v>66331</x:v>
      </x:c>
      <x:c r="D742" s="32" t="str">
        <x:v>Iberian Green Frog</x:v>
      </x:c>
      <x:c r="E742" s="32" t="str">
        <x:v>Pelophylax perezi</x:v>
      </x:c>
      <x:c r="F742" s="30" t="str">
        <x:v>common</x:v>
      </x:c>
      <x:c r="G742" s="30" t="str">
        <x:v>standard</x:v>
      </x:c>
      <x:c r="H742" s="30" t="str">
        <x:v>year-round</x:v>
      </x:c>
      <x:c r="I7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3">
      <x:c r="A743" s="36" t="str">
        <x:v>mediterranean_europe</x:v>
      </x:c>
      <x:c r="B743" s="30" t="str">
        <x:v>mediterranean-europe-broad-draft-1</x:v>
      </x:c>
      <x:c r="C743" s="30" t="n">
        <x:v>27726</x:v>
      </x:c>
      <x:c r="D743" s="32" t="str">
        <x:v>Fire Salamander</x:v>
      </x:c>
      <x:c r="E743" s="32" t="str">
        <x:v>Salamandra salamandra</x:v>
      </x:c>
      <x:c r="F743" s="30" t="str">
        <x:v>common</x:v>
      </x:c>
      <x:c r="G743" s="30" t="str">
        <x:v>standard</x:v>
      </x:c>
      <x:c r="H743" s="30" t="str">
        <x:v>year-round</x:v>
      </x:c>
      <x:c r="I7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4">
      <x:c r="A744" s="36" t="str">
        <x:v>mediterranean_europe</x:v>
      </x:c>
      <x:c r="B744" s="30" t="str">
        <x:v>mediterranean-europe-broad-draft-1</x:v>
      </x:c>
      <x:c r="C744" s="30" t="n">
        <x:v>326296</x:v>
      </x:c>
      <x:c r="D744" s="32" t="str">
        <x:v>European Toad</x:v>
      </x:c>
      <x:c r="E744" s="32" t="str">
        <x:v>Bufo bufo</x:v>
      </x:c>
      <x:c r="F744" s="30" t="str">
        <x:v>common</x:v>
      </x:c>
      <x:c r="G744" s="30" t="str">
        <x:v>standard</x:v>
      </x:c>
      <x:c r="H744" s="30" t="str">
        <x:v>year-round</x:v>
      </x:c>
      <x:c r="I7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5">
      <x:c r="A745" s="36" t="str">
        <x:v>mediterranean_europe</x:v>
      </x:c>
      <x:c r="B745" s="30" t="str">
        <x:v>mediterranean-europe-broad-draft-1</x:v>
      </x:c>
      <x:c r="C745" s="30" t="n">
        <x:v>134693</x:v>
      </x:c>
      <x:c r="D745" s="32" t="str">
        <x:v>Spiny Toad</x:v>
      </x:c>
      <x:c r="E745" s="32" t="str">
        <x:v>Bufo spinosus</x:v>
      </x:c>
      <x:c r="F745" s="30" t="str">
        <x:v>common</x:v>
      </x:c>
      <x:c r="G745" s="30" t="str">
        <x:v>standard</x:v>
      </x:c>
      <x:c r="H745" s="30" t="str">
        <x:v>year-round</x:v>
      </x:c>
      <x:c r="I7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6">
      <x:c r="A746" s="36" t="str">
        <x:v>mediterranean_europe</x:v>
      </x:c>
      <x:c r="B746" s="30" t="str">
        <x:v>mediterranean-europe-broad-draft-1</x:v>
      </x:c>
      <x:c r="C746" s="30" t="n">
        <x:v>25591</x:v>
      </x:c>
      <x:c r="D746" s="32" t="str">
        <x:v>European Common Frog</x:v>
      </x:c>
      <x:c r="E746" s="32" t="str">
        <x:v>Rana temporaria</x:v>
      </x:c>
      <x:c r="F746" s="30" t="str">
        <x:v>common</x:v>
      </x:c>
      <x:c r="G746" s="30" t="str">
        <x:v>standard</x:v>
      </x:c>
      <x:c r="H746" s="30" t="str">
        <x:v>year-round</x:v>
      </x:c>
      <x:c r="I7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7">
      <x:c r="A747" s="36" t="str">
        <x:v>mediterranean_europe</x:v>
      </x:c>
      <x:c r="B747" s="30" t="str">
        <x:v>mediterranean-europe-broad-draft-1</x:v>
      </x:c>
      <x:c r="C747" s="30" t="n">
        <x:v>65450</x:v>
      </x:c>
      <x:c r="D747" s="32" t="str">
        <x:v>Natterjack Toad</x:v>
      </x:c>
      <x:c r="E747" s="32" t="str">
        <x:v>Epidalea calamita</x:v>
      </x:c>
      <x:c r="F747" s="30" t="str">
        <x:v>common</x:v>
      </x:c>
      <x:c r="G747" s="30" t="str">
        <x:v>standard</x:v>
      </x:c>
      <x:c r="H747" s="30" t="str">
        <x:v>year-round</x:v>
      </x:c>
      <x:c r="I7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8">
      <x:c r="A748" s="36" t="str">
        <x:v>mediterranean_europe</x:v>
      </x:c>
      <x:c r="B748" s="30" t="str">
        <x:v>mediterranean-europe-broad-draft-1</x:v>
      </x:c>
      <x:c r="C748" s="30" t="n">
        <x:v>25669</x:v>
      </x:c>
      <x:c r="D748" s="32" t="str">
        <x:v>Agile Frog</x:v>
      </x:c>
      <x:c r="E748" s="32" t="str">
        <x:v>Rana dalmatina</x:v>
      </x:c>
      <x:c r="F748" s="30" t="str">
        <x:v>common</x:v>
      </x:c>
      <x:c r="G748" s="30" t="str">
        <x:v>standard</x:v>
      </x:c>
      <x:c r="H748" s="30" t="str">
        <x:v>year-round</x:v>
      </x:c>
      <x:c r="I7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49">
      <x:c r="A749" s="36" t="str">
        <x:v>mediterranean_europe</x:v>
      </x:c>
      <x:c r="B749" s="30" t="str">
        <x:v>mediterranean-europe-broad-draft-1</x:v>
      </x:c>
      <x:c r="C749" s="30" t="n">
        <x:v>25665</x:v>
      </x:c>
      <x:c r="D749" s="32" t="str">
        <x:v>Iberian Frog</x:v>
      </x:c>
      <x:c r="E749" s="32" t="str">
        <x:v>Rana iberica</x:v>
      </x:c>
      <x:c r="F749" s="30" t="str">
        <x:v>common</x:v>
      </x:c>
      <x:c r="G749" s="30" t="str">
        <x:v>standard</x:v>
      </x:c>
      <x:c r="H749" s="30" t="str">
        <x:v>year-round</x:v>
      </x:c>
      <x:c r="I7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0">
      <x:c r="A750" s="36" t="str">
        <x:v>mediterranean_europe</x:v>
      </x:c>
      <x:c r="B750" s="30" t="str">
        <x:v>mediterranean-europe-broad-draft-1</x:v>
      </x:c>
      <x:c r="C750" s="30" t="n">
        <x:v>27712</x:v>
      </x:c>
      <x:c r="D750" s="32" t="str">
        <x:v>Marbled Newt</x:v>
      </x:c>
      <x:c r="E750" s="32" t="str">
        <x:v>Triturus marmoratus</x:v>
      </x:c>
      <x:c r="F750" s="30" t="str">
        <x:v>common</x:v>
      </x:c>
      <x:c r="G750" s="30" t="str">
        <x:v>standard</x:v>
      </x:c>
      <x:c r="H750" s="30" t="str">
        <x:v>year-round</x:v>
      </x:c>
      <x:c r="I7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1">
      <x:c r="A751" s="36" t="str">
        <x:v>mediterranean_europe</x:v>
      </x:c>
      <x:c r="B751" s="30" t="str">
        <x:v>mediterranean-europe-broad-draft-1</x:v>
      </x:c>
      <x:c r="C751" s="30" t="n">
        <x:v>64378</x:v>
      </x:c>
      <x:c r="D751" s="32" t="str">
        <x:v>Bosca's newt</x:v>
      </x:c>
      <x:c r="E751" s="32" t="str">
        <x:v>Lissotriton boscai</x:v>
      </x:c>
      <x:c r="F751" s="30" t="str">
        <x:v>common</x:v>
      </x:c>
      <x:c r="G751" s="30" t="str">
        <x:v>standard</x:v>
      </x:c>
      <x:c r="H751" s="30" t="str">
        <x:v>year-round</x:v>
      </x:c>
      <x:c r="I7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2">
      <x:c r="A752" s="36" t="str">
        <x:v>mediterranean_europe</x:v>
      </x:c>
      <x:c r="B752" s="30" t="str">
        <x:v>mediterranean-europe-broad-draft-1</x:v>
      </x:c>
      <x:c r="C752" s="30" t="n">
        <x:v>27732</x:v>
      </x:c>
      <x:c r="D752" s="32" t="str">
        <x:v>Lanza's Alpine Salamander</x:v>
      </x:c>
      <x:c r="E752" s="32" t="str">
        <x:v>Salamandra lanzai</x:v>
      </x:c>
      <x:c r="F752" s="30" t="str">
        <x:v>common</x:v>
      </x:c>
      <x:c r="G752" s="30" t="str">
        <x:v>standard</x:v>
      </x:c>
      <x:c r="H752" s="30" t="str">
        <x:v>year-round</x:v>
      </x:c>
      <x:c r="I7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3">
      <x:c r="A753" s="36" t="str">
        <x:v>mediterranean_europe</x:v>
      </x:c>
      <x:c r="B753" s="30" t="str">
        <x:v>mediterranean-europe-broad-draft-1</x:v>
      </x:c>
      <x:c r="C753" s="30" t="n">
        <x:v>25616</x:v>
      </x:c>
      <x:c r="D753" s="32" t="str">
        <x:v>Italian Stream Frog</x:v>
      </x:c>
      <x:c r="E753" s="32" t="str">
        <x:v>Rana italica</x:v>
      </x:c>
      <x:c r="F753" s="30" t="str">
        <x:v>common</x:v>
      </x:c>
      <x:c r="G753" s="30" t="str">
        <x:v>standard</x:v>
      </x:c>
      <x:c r="H753" s="30" t="str">
        <x:v>year-round</x:v>
      </x:c>
      <x:c r="I7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4">
      <x:c r="A754" s="36" t="str">
        <x:v>mediterranean_europe</x:v>
      </x:c>
      <x:c r="B754" s="30" t="str">
        <x:v>mediterranean-europe-broad-draft-1</x:v>
      </x:c>
      <x:c r="C754" s="30" t="n">
        <x:v>1453013</x:v>
      </x:c>
      <x:c r="D754" s="32" t="str">
        <x:v>Green Toad</x:v>
      </x:c>
      <x:c r="E754" s="32" t="str">
        <x:v>Bufotes viridis</x:v>
      </x:c>
      <x:c r="F754" s="30" t="str">
        <x:v>common</x:v>
      </x:c>
      <x:c r="G754" s="30" t="str">
        <x:v>standard</x:v>
      </x:c>
      <x:c r="H754" s="30" t="str">
        <x:v>year-round</x:v>
      </x:c>
      <x:c r="I7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5">
      <x:c r="A755" s="36" t="str">
        <x:v>mediterranean_europe</x:v>
      </x:c>
      <x:c r="B755" s="30" t="str">
        <x:v>mediterranean-europe-broad-draft-1</x:v>
      </x:c>
      <x:c r="C755" s="30" t="n">
        <x:v>1319807</x:v>
      </x:c>
      <x:c r="D755" s="32" t="str">
        <x:v>Marsh Frog</x:v>
      </x:c>
      <x:c r="E755" s="32" t="str">
        <x:v>Pelophylax ridibundus</x:v>
      </x:c>
      <x:c r="F755" s="30" t="str">
        <x:v>common</x:v>
      </x:c>
      <x:c r="G755" s="30" t="str">
        <x:v>standard</x:v>
      </x:c>
      <x:c r="H755" s="30" t="str">
        <x:v>year-round</x:v>
      </x:c>
      <x:c r="I7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6">
      <x:c r="A756" s="36" t="str">
        <x:v>mediterranean_europe</x:v>
      </x:c>
      <x:c r="B756" s="30" t="str">
        <x:v>mediterranean-europe-broad-draft-1</x:v>
      </x:c>
      <x:c r="C756" s="30" t="n">
        <x:v>27717</x:v>
      </x:c>
      <x:c r="D756" s="32" t="str">
        <x:v>Italian Crested Newt</x:v>
      </x:c>
      <x:c r="E756" s="32" t="str">
        <x:v>Triturus carnifex</x:v>
      </x:c>
      <x:c r="F756" s="30" t="str">
        <x:v>common</x:v>
      </x:c>
      <x:c r="G756" s="30" t="str">
        <x:v>standard</x:v>
      </x:c>
      <x:c r="H756" s="30" t="str">
        <x:v>year-round</x:v>
      </x:c>
      <x:c r="I7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7">
      <x:c r="A757" s="36" t="str">
        <x:v>mediterranean_europe</x:v>
      </x:c>
      <x:c r="B757" s="30" t="str">
        <x:v>mediterranean-europe-broad-draft-1</x:v>
      </x:c>
      <x:c r="C757" s="30" t="n">
        <x:v>24480</x:v>
      </x:c>
      <x:c r="D757" s="32" t="str">
        <x:v>Iberian Painted Frog</x:v>
      </x:c>
      <x:c r="E757" s="32" t="str">
        <x:v>Discoglossus galganoi</x:v>
      </x:c>
      <x:c r="F757" s="30" t="str">
        <x:v>common</x:v>
      </x:c>
      <x:c r="G757" s="30" t="str">
        <x:v>standard</x:v>
      </x:c>
      <x:c r="H757" s="30" t="str">
        <x:v>year-round</x:v>
      </x:c>
      <x:c r="I7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8">
      <x:c r="A758" s="36" t="str">
        <x:v>mediterranean_europe</x:v>
      </x:c>
      <x:c r="B758" s="30" t="str">
        <x:v>mediterranean-europe-broad-draft-1</x:v>
      </x:c>
      <x:c r="C758" s="30" t="n">
        <x:v>24473</x:v>
      </x:c>
      <x:c r="D758" s="32" t="str">
        <x:v>Common Midwife Toad</x:v>
      </x:c>
      <x:c r="E758" s="32" t="str">
        <x:v>Alytes obstetricans</x:v>
      </x:c>
      <x:c r="F758" s="30" t="str">
        <x:v>common</x:v>
      </x:c>
      <x:c r="G758" s="30" t="str">
        <x:v>standard</x:v>
      </x:c>
      <x:c r="H758" s="30" t="str">
        <x:v>year-round</x:v>
      </x:c>
      <x:c r="I7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59">
      <x:c r="A759" s="36" t="str">
        <x:v>mediterranean_europe</x:v>
      </x:c>
      <x:c r="B759" s="30" t="str">
        <x:v>mediterranean-europe-broad-draft-1</x:v>
      </x:c>
      <x:c r="C759" s="30" t="n">
        <x:v>25311</x:v>
      </x:c>
      <x:c r="D759" s="32" t="str">
        <x:v>Iberian Spadefoot</x:v>
      </x:c>
      <x:c r="E759" s="32" t="str">
        <x:v>Pelobates cultripes</x:v>
      </x:c>
      <x:c r="F759" s="30" t="str">
        <x:v>common</x:v>
      </x:c>
      <x:c r="G759" s="30" t="str">
        <x:v>standard</x:v>
      </x:c>
      <x:c r="H759" s="30" t="str">
        <x:v>year-round</x:v>
      </x:c>
      <x:c r="I7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0">
      <x:c r="A760" s="36" t="str">
        <x:v>mediterranean_europe</x:v>
      </x:c>
      <x:c r="B760" s="30" t="str">
        <x:v>mediterranean-europe-broad-draft-1</x:v>
      </x:c>
      <x:c r="C760" s="30" t="n">
        <x:v>24045</x:v>
      </x:c>
      <x:c r="D760" s="32" t="str">
        <x:v>Mediterranean Tree Frog</x:v>
      </x:c>
      <x:c r="E760" s="32" t="str">
        <x:v>Hyla meridionalis</x:v>
      </x:c>
      <x:c r="F760" s="30" t="str">
        <x:v>common</x:v>
      </x:c>
      <x:c r="G760" s="30" t="str">
        <x:v>standard</x:v>
      </x:c>
      <x:c r="H760" s="30" t="str">
        <x:v>year-round</x:v>
      </x:c>
      <x:c r="I7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1">
      <x:c r="A761" s="36" t="str">
        <x:v>mediterranean_europe</x:v>
      </x:c>
      <x:c r="B761" s="30" t="str">
        <x:v>mediterranean-europe-broad-draft-1</x:v>
      </x:c>
      <x:c r="C761" s="30" t="n">
        <x:v>64377</x:v>
      </x:c>
      <x:c r="D761" s="32" t="str">
        <x:v>Palmate Newt</x:v>
      </x:c>
      <x:c r="E761" s="32" t="str">
        <x:v>Lissotriton helveticus</x:v>
      </x:c>
      <x:c r="F761" s="30" t="str">
        <x:v>common</x:v>
      </x:c>
      <x:c r="G761" s="30" t="str">
        <x:v>standard</x:v>
      </x:c>
      <x:c r="H761" s="30" t="str">
        <x:v>year-round</x:v>
      </x:c>
      <x:c r="I7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2">
      <x:c r="A762" s="36" t="str">
        <x:v>mediterranean_europe</x:v>
      </x:c>
      <x:c r="B762" s="30" t="str">
        <x:v>mediterranean-europe-broad-draft-1</x:v>
      </x:c>
      <x:c r="C762" s="30" t="n">
        <x:v>27832</x:v>
      </x:c>
      <x:c r="D762" s="32" t="str">
        <x:v>Iberian Ribbed Newt</x:v>
      </x:c>
      <x:c r="E762" s="32" t="str">
        <x:v>Pleurodeles waltl</x:v>
      </x:c>
      <x:c r="F762" s="30" t="str">
        <x:v>common</x:v>
      </x:c>
      <x:c r="G762" s="30" t="str">
        <x:v>standard</x:v>
      </x:c>
      <x:c r="H762" s="30" t="str">
        <x:v>year-round</x:v>
      </x:c>
      <x:c r="I7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3">
      <x:c r="A763" s="36" t="str">
        <x:v>mediterranean_europe</x:v>
      </x:c>
      <x:c r="B763" s="30" t="str">
        <x:v>mediterranean-europe-broad-draft-1</x:v>
      </x:c>
      <x:c r="C763" s="30" t="n">
        <x:v>556621</x:v>
      </x:c>
      <x:c r="D763" s="32" t="str">
        <x:v>Yellow-bellied Toad</x:v>
      </x:c>
      <x:c r="E763" s="32" t="str">
        <x:v>Bombina variegata</x:v>
      </x:c>
      <x:c r="F763" s="30" t="str">
        <x:v>common</x:v>
      </x:c>
      <x:c r="G763" s="30" t="str">
        <x:v>standard</x:v>
      </x:c>
      <x:c r="H763" s="30" t="str">
        <x:v>year-round</x:v>
      </x:c>
      <x:c r="I7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4">
      <x:c r="A764" s="36" t="str">
        <x:v>mediterranean_europe</x:v>
      </x:c>
      <x:c r="B764" s="30" t="str">
        <x:v>mediterranean-europe-broad-draft-1</x:v>
      </x:c>
      <x:c r="C764" s="30" t="n">
        <x:v>23922</x:v>
      </x:c>
      <x:c r="D764" s="32" t="str">
        <x:v>Italian Tree Frog</x:v>
      </x:c>
      <x:c r="E764" s="32" t="str">
        <x:v>Hyla intermedia</x:v>
      </x:c>
      <x:c r="F764" s="30" t="str">
        <x:v>common</x:v>
      </x:c>
      <x:c r="G764" s="30" t="str">
        <x:v>standard</x:v>
      </x:c>
      <x:c r="H764" s="30" t="str">
        <x:v>year-round</x:v>
      </x:c>
      <x:c r="I7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5">
      <x:c r="A765" s="36" t="str">
        <x:v>mediterranean_europe</x:v>
      </x:c>
      <x:c r="B765" s="30" t="str">
        <x:v>mediterranean-europe-broad-draft-1</x:v>
      </x:c>
      <x:c r="C765" s="30" t="n">
        <x:v>27519</x:v>
      </x:c>
      <x:c r="D765" s="32" t="str">
        <x:v>Strinati's Cave Salamander</x:v>
      </x:c>
      <x:c r="E765" s="32" t="str">
        <x:v>Speleomantes strinatii</x:v>
      </x:c>
      <x:c r="F765" s="30" t="str">
        <x:v>common</x:v>
      </x:c>
      <x:c r="G765" s="30" t="str">
        <x:v>standard</x:v>
      </x:c>
      <x:c r="H765" s="30" t="str">
        <x:v>year-round</x:v>
      </x:c>
      <x:c r="I7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6">
      <x:c r="A766" s="36" t="str">
        <x:v>mediterranean_europe</x:v>
      </x:c>
      <x:c r="B766" s="30" t="str">
        <x:v>mediterranean-europe-broad-draft-1</x:v>
      </x:c>
      <x:c r="C766" s="30" t="n">
        <x:v>64384</x:v>
      </x:c>
      <x:c r="D766" s="32" t="str">
        <x:v>Northern Spectacled Salamander</x:v>
      </x:c>
      <x:c r="E766" s="32" t="str">
        <x:v>Salamandrina perspicillata</x:v>
      </x:c>
      <x:c r="F766" s="30" t="str">
        <x:v>common</x:v>
      </x:c>
      <x:c r="G766" s="30" t="str">
        <x:v>standard</x:v>
      </x:c>
      <x:c r="H766" s="30" t="str">
        <x:v>year-round</x:v>
      </x:c>
      <x:c r="I7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7">
      <x:c r="A767" s="36" t="str">
        <x:v>mediterranean_europe</x:v>
      </x:c>
      <x:c r="B767" s="30" t="str">
        <x:v>mediterranean-europe-broad-draft-1</x:v>
      </x:c>
      <x:c r="C767" s="30" t="n">
        <x:v>1633756</x:v>
      </x:c>
      <x:c r="D767" s="32" t="str">
        <x:v>Alpine Newt</x:v>
      </x:c>
      <x:c r="E767" s="32" t="str">
        <x:v>Mesotriton alpestris</x:v>
      </x:c>
      <x:c r="F767" s="30" t="str">
        <x:v>common</x:v>
      </x:c>
      <x:c r="G767" s="30" t="str">
        <x:v>standard</x:v>
      </x:c>
      <x:c r="H767" s="30" t="str">
        <x:v>year-round</x:v>
      </x:c>
      <x:c r="I7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8">
      <x:c r="A768" s="36" t="str">
        <x:v>mediterranean_europe</x:v>
      </x:c>
      <x:c r="B768" s="30" t="str">
        <x:v>mediterranean-europe-broad-draft-1</x:v>
      </x:c>
      <x:c r="C768" s="30" t="n">
        <x:v>25664</x:v>
      </x:c>
      <x:c r="D768" s="32" t="str">
        <x:v>Italian Agile Frog</x:v>
      </x:c>
      <x:c r="E768" s="32" t="str">
        <x:v>Rana latastei</x:v>
      </x:c>
      <x:c r="F768" s="30" t="str">
        <x:v>common</x:v>
      </x:c>
      <x:c r="G768" s="30" t="str">
        <x:v>standard</x:v>
      </x:c>
      <x:c r="H768" s="30" t="str">
        <x:v>year-round</x:v>
      </x:c>
      <x:c r="I7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69">
      <x:c r="A769" s="36" t="str">
        <x:v>mediterranean_europe</x:v>
      </x:c>
      <x:c r="B769" s="30" t="str">
        <x:v>mediterranean-europe-broad-draft-1</x:v>
      </x:c>
      <x:c r="C769" s="30" t="n">
        <x:v>70646</x:v>
      </x:c>
      <x:c r="D769" s="32" t="str">
        <x:v>Iberian Tree Frog</x:v>
      </x:c>
      <x:c r="E769" s="32" t="str">
        <x:v>Hyla molleri</x:v>
      </x:c>
      <x:c r="F769" s="30" t="str">
        <x:v>common</x:v>
      </x:c>
      <x:c r="G769" s="30" t="str">
        <x:v>standard</x:v>
      </x:c>
      <x:c r="H769" s="30" t="str">
        <x:v>year-round</x:v>
      </x:c>
      <x:c r="I7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0">
      <x:c r="A770" s="36" t="str">
        <x:v>mediterranean_europe</x:v>
      </x:c>
      <x:c r="B770" s="30" t="str">
        <x:v>mediterranean-europe-broad-draft-1</x:v>
      </x:c>
      <x:c r="C770" s="30" t="n">
        <x:v>27844</x:v>
      </x:c>
      <x:c r="D770" s="32" t="str">
        <x:v>Gold-striped salamander</x:v>
      </x:c>
      <x:c r="E770" s="32" t="str">
        <x:v>Chioglossa lusitanica</x:v>
      </x:c>
      <x:c r="F770" s="30" t="str">
        <x:v>common</x:v>
      </x:c>
      <x:c r="G770" s="30" t="str">
        <x:v>standard</x:v>
      </x:c>
      <x:c r="H770" s="30" t="str">
        <x:v>year-round</x:v>
      </x:c>
      <x:c r="I7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1">
      <x:c r="A771" s="36" t="str">
        <x:v>mediterranean_europe</x:v>
      </x:c>
      <x:c r="B771" s="30" t="str">
        <x:v>mediterranean-europe-broad-draft-1</x:v>
      </x:c>
      <x:c r="C771" s="30" t="n">
        <x:v>27719</x:v>
      </x:c>
      <x:c r="D771" s="32" t="str">
        <x:v>Pygmy Marbled Newt</x:v>
      </x:c>
      <x:c r="E771" s="32" t="str">
        <x:v>Triturus pygmaeus</x:v>
      </x:c>
      <x:c r="F771" s="30" t="str">
        <x:v>common</x:v>
      </x:c>
      <x:c r="G771" s="30" t="str">
        <x:v>standard</x:v>
      </x:c>
      <x:c r="H771" s="30" t="str">
        <x:v>year-round</x:v>
      </x:c>
      <x:c r="I7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2">
      <x:c r="A772" s="36" t="str">
        <x:v>mediterranean_europe</x:v>
      </x:c>
      <x:c r="B772" s="30" t="str">
        <x:v>mediterranean-europe-broad-draft-1</x:v>
      </x:c>
      <x:c r="C772" s="30" t="n">
        <x:v>1688750</x:v>
      </x:c>
      <x:c r="D772" s="32" t="str">
        <x:v>Galician Common Frog</x:v>
      </x:c>
      <x:c r="E772" s="32" t="str">
        <x:v>Rana parvipalmata</x:v>
      </x:c>
      <x:c r="F772" s="30" t="str">
        <x:v>common</x:v>
      </x:c>
      <x:c r="G772" s="30" t="str">
        <x:v>standard</x:v>
      </x:c>
      <x:c r="H772" s="30" t="str">
        <x:v>year-round</x:v>
      </x:c>
      <x:c r="I7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3">
      <x:c r="A773" s="36" t="str">
        <x:v>mediterranean_europe</x:v>
      </x:c>
      <x:c r="B773" s="30" t="str">
        <x:v>mediterranean-europe-broad-draft-1</x:v>
      </x:c>
      <x:c r="C773" s="30" t="n">
        <x:v>24479</x:v>
      </x:c>
      <x:c r="D773" s="32" t="str">
        <x:v>Mediterranean Painted Frog</x:v>
      </x:c>
      <x:c r="E773" s="32" t="str">
        <x:v>Discoglossus pictus</x:v>
      </x:c>
      <x:c r="F773" s="30" t="str">
        <x:v>common</x:v>
      </x:c>
      <x:c r="G773" s="30" t="str">
        <x:v>standard</x:v>
      </x:c>
      <x:c r="H773" s="30" t="str">
        <x:v>year-round</x:v>
      </x:c>
      <x:c r="I7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4">
      <x:c r="A774" s="36" t="str">
        <x:v>mediterranean_europe</x:v>
      </x:c>
      <x:c r="B774" s="30" t="str">
        <x:v>mediterranean-europe-broad-draft-1</x:v>
      </x:c>
      <x:c r="C774" s="30" t="n">
        <x:v>25697</x:v>
      </x:c>
      <x:c r="D774" s="32" t="str">
        <x:v>Greek frog</x:v>
      </x:c>
      <x:c r="E774" s="32" t="str">
        <x:v>Rana graeca</x:v>
      </x:c>
      <x:c r="F774" s="30" t="str">
        <x:v>common</x:v>
      </x:c>
      <x:c r="G774" s="30" t="str">
        <x:v>standard</x:v>
      </x:c>
      <x:c r="H774" s="30" t="str">
        <x:v>year-round</x:v>
      </x:c>
      <x:c r="I7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5">
      <x:c r="A775" s="36" t="str">
        <x:v>mediterranean_europe</x:v>
      </x:c>
      <x:c r="B775" s="30" t="str">
        <x:v>mediterranean-europe-broad-draft-1</x:v>
      </x:c>
      <x:c r="C775" s="30" t="n">
        <x:v>424147</x:v>
      </x:c>
      <x:c r="D775" s="32" t="str">
        <x:v>European Tree Frog</x:v>
      </x:c>
      <x:c r="E775" s="32" t="str">
        <x:v>Hyla arborea</x:v>
      </x:c>
      <x:c r="F775" s="30" t="str">
        <x:v>common</x:v>
      </x:c>
      <x:c r="G775" s="30" t="str">
        <x:v>standard</x:v>
      </x:c>
      <x:c r="H775" s="30" t="str">
        <x:v>year-round</x:v>
      </x:c>
      <x:c r="I7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6">
      <x:c r="A776" s="36" t="str">
        <x:v>mediterranean_europe</x:v>
      </x:c>
      <x:c r="B776" s="30" t="str">
        <x:v>mediterranean-europe-broad-draft-1</x:v>
      </x:c>
      <x:c r="C776" s="30" t="n">
        <x:v>556656</x:v>
      </x:c>
      <x:c r="D776" s="32" t="str">
        <x:v>Smooth Newt</x:v>
      </x:c>
      <x:c r="E776" s="32" t="str">
        <x:v>Lissotriton vulgaris</x:v>
      </x:c>
      <x:c r="F776" s="30" t="str">
        <x:v>common</x:v>
      </x:c>
      <x:c r="G776" s="30" t="str">
        <x:v>standard</x:v>
      </x:c>
      <x:c r="H776" s="30" t="str">
        <x:v>year-round</x:v>
      </x:c>
      <x:c r="I7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7">
      <x:c r="A777" s="36" t="str">
        <x:v>mediterranean_europe</x:v>
      </x:c>
      <x:c r="B777" s="30" t="str">
        <x:v>mediterranean-europe-broad-draft-1</x:v>
      </x:c>
      <x:c r="C777" s="30" t="n">
        <x:v>548416</x:v>
      </x:c>
      <x:c r="D777" s="32" t="str">
        <x:v>Lusitanian Parsley Frog</x:v>
      </x:c>
      <x:c r="E777" s="32" t="str">
        <x:v>Pelodytes atlanticus</x:v>
      </x:c>
      <x:c r="F777" s="30" t="str">
        <x:v>common</x:v>
      </x:c>
      <x:c r="G777" s="30" t="str">
        <x:v>standard</x:v>
      </x:c>
      <x:c r="H777" s="30" t="str">
        <x:v>year-round</x:v>
      </x:c>
      <x:c r="I7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8">
      <x:c r="A778" s="36" t="str">
        <x:v>mediterranean_europe</x:v>
      </x:c>
      <x:c r="B778" s="30" t="str">
        <x:v>mediterranean-europe-broad-draft-1</x:v>
      </x:c>
      <x:c r="C778" s="30" t="n">
        <x:v>1629047</x:v>
      </x:c>
      <x:c r="D778" s="32" t="str">
        <x:v>Catalonian Midwife Toad</x:v>
      </x:c>
      <x:c r="E778" s="32" t="str">
        <x:v>Alytes almogavarii</x:v>
      </x:c>
      <x:c r="F778" s="30" t="str">
        <x:v>uncommon</x:v>
      </x:c>
      <x:c r="G778" s="30" t="str">
        <x:v>standard</x:v>
      </x:c>
      <x:c r="H778" s="30" t="str">
        <x:v>year-round</x:v>
      </x:c>
      <x:c r="I7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79">
      <x:c r="A779" s="36" t="str">
        <x:v>mediterranean_europe</x:v>
      </x:c>
      <x:c r="B779" s="30" t="str">
        <x:v>mediterranean-europe-broad-draft-1</x:v>
      </x:c>
      <x:c r="C779" s="30" t="n">
        <x:v>24475</x:v>
      </x:c>
      <x:c r="D779" s="32" t="str">
        <x:v>Iberian Midwife Toad</x:v>
      </x:c>
      <x:c r="E779" s="32" t="str">
        <x:v>Alytes cisternasii</x:v>
      </x:c>
      <x:c r="F779" s="30" t="str">
        <x:v>uncommon</x:v>
      </x:c>
      <x:c r="G779" s="30" t="str">
        <x:v>standard</x:v>
      </x:c>
      <x:c r="H779" s="30" t="str">
        <x:v>year-round</x:v>
      </x:c>
      <x:c r="I7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0">
      <x:c r="A780" s="36" t="str">
        <x:v>mediterranean_europe</x:v>
      </x:c>
      <x:c r="B780" s="30" t="str">
        <x:v>mediterranean-europe-broad-draft-1</x:v>
      </x:c>
      <x:c r="C780" s="30" t="n">
        <x:v>64373</x:v>
      </x:c>
      <x:c r="D780" s="32" t="str">
        <x:v>Pyrenean Brook Salamander</x:v>
      </x:c>
      <x:c r="E780" s="32" t="str">
        <x:v>Calotriton asper</x:v>
      </x:c>
      <x:c r="F780" s="30" t="str">
        <x:v>uncommon</x:v>
      </x:c>
      <x:c r="G780" s="30" t="str">
        <x:v>standard</x:v>
      </x:c>
      <x:c r="H780" s="30" t="str">
        <x:v>year-round</x:v>
      </x:c>
      <x:c r="I7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1">
      <x:c r="A781" s="36" t="str">
        <x:v>mediterranean_europe</x:v>
      </x:c>
      <x:c r="B781" s="30" t="str">
        <x:v>mediterranean-europe-broad-draft-1</x:v>
      </x:c>
      <x:c r="C781" s="30" t="n">
        <x:v>27517</x:v>
      </x:c>
      <x:c r="D781" s="32" t="str">
        <x:v>Italian Cave Salamander</x:v>
      </x:c>
      <x:c r="E781" s="32" t="str">
        <x:v>Speleomantes italicus</x:v>
      </x:c>
      <x:c r="F781" s="30" t="str">
        <x:v>uncommon</x:v>
      </x:c>
      <x:c r="G781" s="30" t="str">
        <x:v>standard</x:v>
      </x:c>
      <x:c r="H781" s="30" t="str">
        <x:v>year-round</x:v>
      </x:c>
      <x:c r="I7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2">
      <x:c r="A782" s="36" t="str">
        <x:v>mediterranean_europe</x:v>
      </x:c>
      <x:c r="B782" s="30" t="str">
        <x:v>mediterranean-europe-broad-draft-1</x:v>
      </x:c>
      <x:c r="C782" s="30" t="n">
        <x:v>64380</x:v>
      </x:c>
      <x:c r="D782" s="32" t="str">
        <x:v>Italian newt</x:v>
      </x:c>
      <x:c r="E782" s="32" t="str">
        <x:v>Lissotriton italicus</x:v>
      </x:c>
      <x:c r="F782" s="30" t="str">
        <x:v>uncommon</x:v>
      </x:c>
      <x:c r="G782" s="30" t="str">
        <x:v>standard</x:v>
      </x:c>
      <x:c r="H782" s="30" t="str">
        <x:v>year-round</x:v>
      </x:c>
      <x:c r="I7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3">
      <x:c r="A783" s="36" t="str">
        <x:v>mediterranean_europe</x:v>
      </x:c>
      <x:c r="B783" s="30" t="str">
        <x:v>mediterranean-europe-broad-draft-1</x:v>
      </x:c>
      <x:c r="C783" s="30" t="n">
        <x:v>23998</x:v>
      </x:c>
      <x:c r="D783" s="32" t="str">
        <x:v>Sardinian Tree Frog</x:v>
      </x:c>
      <x:c r="E783" s="32" t="str">
        <x:v>Hyla sarda</x:v>
      </x:c>
      <x:c r="F783" s="30" t="str">
        <x:v>uncommon</x:v>
      </x:c>
      <x:c r="G783" s="30" t="str">
        <x:v>standard</x:v>
      </x:c>
      <x:c r="H783" s="30" t="str">
        <x:v>year-round</x:v>
      </x:c>
      <x:c r="I7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4">
      <x:c r="A784" s="36" t="str">
        <x:v>mediterranean_europe</x:v>
      </x:c>
      <x:c r="B784" s="30" t="str">
        <x:v>mediterranean-europe-broad-draft-1</x:v>
      </x:c>
      <x:c r="C784" s="30" t="n">
        <x:v>1591819</x:v>
      </x:c>
      <x:c r="D784" s="32" t="str">
        <x:v>Lisbon pygmy newt</x:v>
      </x:c>
      <x:c r="E784" s="32" t="str">
        <x:v>Triturus rudolfi</x:v>
      </x:c>
      <x:c r="F784" s="30" t="str">
        <x:v>uncommon</x:v>
      </x:c>
      <x:c r="G784" s="30" t="str">
        <x:v>standard</x:v>
      </x:c>
      <x:c r="H784" s="30" t="str">
        <x:v>year-round</x:v>
      </x:c>
      <x:c r="I7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5">
      <x:c r="A785" s="36" t="str">
        <x:v>mediterranean_europe</x:v>
      </x:c>
      <x:c r="B785" s="30" t="str">
        <x:v>mediterranean-europe-broad-draft-1</x:v>
      </x:c>
      <x:c r="C785" s="30" t="n">
        <x:v>548418</x:v>
      </x:c>
      <x:c r="D785" s="32" t="str">
        <x:v>Common Parsley Frog</x:v>
      </x:c>
      <x:c r="E785" s="32" t="str">
        <x:v>Pelodytes punctatus</x:v>
      </x:c>
      <x:c r="F785" s="30" t="str">
        <x:v>uncommon</x:v>
      </x:c>
      <x:c r="G785" s="30" t="str">
        <x:v>standard</x:v>
      </x:c>
      <x:c r="H785" s="30" t="str">
        <x:v>year-round</x:v>
      </x:c>
      <x:c r="I7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6">
      <x:c r="A786" s="36" t="str">
        <x:v>mediterranean_europe</x:v>
      </x:c>
      <x:c r="B786" s="30" t="str">
        <x:v>mediterranean-europe-broad-draft-1</x:v>
      </x:c>
      <x:c r="C786" s="30" t="n">
        <x:v>120741</x:v>
      </x:c>
      <x:c r="D786" s="32" t="str">
        <x:v>Portuguese Smooth Newt</x:v>
      </x:c>
      <x:c r="E786" s="32" t="str">
        <x:v>Lissotriton maltzani</x:v>
      </x:c>
      <x:c r="F786" s="30" t="str">
        <x:v>uncommon</x:v>
      </x:c>
      <x:c r="G786" s="30" t="str">
        <x:v>standard</x:v>
      </x:c>
      <x:c r="H786" s="30" t="str">
        <x:v>year-round</x:v>
      </x:c>
      <x:c r="I7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7">
      <x:c r="A787" s="36" t="str">
        <x:v>mediterranean_europe</x:v>
      </x:c>
      <x:c r="B787" s="30" t="str">
        <x:v>mediterranean-europe-broad-draft-1</x:v>
      </x:c>
      <x:c r="C787" s="30" t="n">
        <x:v>27735</x:v>
      </x:c>
      <x:c r="D787" s="32" t="str">
        <x:v>Alpine Salamander</x:v>
      </x:c>
      <x:c r="E787" s="32" t="str">
        <x:v>Salamandra atra</x:v>
      </x:c>
      <x:c r="F787" s="30" t="str">
        <x:v>uncommon</x:v>
      </x:c>
      <x:c r="G787" s="30" t="str">
        <x:v>standard</x:v>
      </x:c>
      <x:c r="H787" s="30" t="str">
        <x:v>year-round</x:v>
      </x:c>
      <x:c r="I7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8">
      <x:c r="A788" s="36" t="str">
        <x:v>mediterranean_europe</x:v>
      </x:c>
      <x:c r="B788" s="30" t="str">
        <x:v>mediterranean-europe-broad-draft-1</x:v>
      </x:c>
      <x:c r="C788" s="30" t="n">
        <x:v>120738</x:v>
      </x:c>
      <x:c r="D788" s="32" t="str">
        <x:v>Greek Newt</x:v>
      </x:c>
      <x:c r="E788" s="32" t="str">
        <x:v>Lissotriton graecus</x:v>
      </x:c>
      <x:c r="F788" s="30" t="str">
        <x:v>uncommon</x:v>
      </x:c>
      <x:c r="G788" s="30" t="str">
        <x:v>standard</x:v>
      </x:c>
      <x:c r="H788" s="30" t="str">
        <x:v>year-round</x:v>
      </x:c>
      <x:c r="I7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89">
      <x:c r="A789" s="36" t="str">
        <x:v>mediterranean_europe</x:v>
      </x:c>
      <x:c r="B789" s="30" t="str">
        <x:v>mediterranean-europe-broad-draft-1</x:v>
      </x:c>
      <x:c r="C789" s="30" t="n">
        <x:v>27514</x:v>
      </x:c>
      <x:c r="D789" s="32" t="str">
        <x:v>Ambrosi's Cave Salamander</x:v>
      </x:c>
      <x:c r="E789" s="32" t="str">
        <x:v>Speleomantes ambrosii</x:v>
      </x:c>
      <x:c r="F789" s="30" t="str">
        <x:v>uncommon</x:v>
      </x:c>
      <x:c r="G789" s="30" t="str">
        <x:v>standard</x:v>
      </x:c>
      <x:c r="H789" s="30" t="str">
        <x:v>year-round</x:v>
      </x:c>
      <x:c r="I7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0">
      <x:c r="A790" s="36" t="str">
        <x:v>mediterranean_europe</x:v>
      </x:c>
      <x:c r="B790" s="30" t="str">
        <x:v>mediterranean-europe-broad-draft-1</x:v>
      </x:c>
      <x:c r="C790" s="30" t="n">
        <x:v>25316</x:v>
      </x:c>
      <x:c r="D790" s="32" t="str">
        <x:v>Iberian parsley frog</x:v>
      </x:c>
      <x:c r="E790" s="32" t="str">
        <x:v>Pelodytes ibericus</x:v>
      </x:c>
      <x:c r="F790" s="30" t="str">
        <x:v>uncommon</x:v>
      </x:c>
      <x:c r="G790" s="30" t="str">
        <x:v>standard</x:v>
      </x:c>
      <x:c r="H790" s="30" t="str">
        <x:v>year-round</x:v>
      </x:c>
      <x:c r="I7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1">
      <x:c r="A791" s="36" t="str">
        <x:v>mediterranean_europe</x:v>
      </x:c>
      <x:c r="B791" s="30" t="str">
        <x:v>mediterranean-europe-broad-draft-1</x:v>
      </x:c>
      <x:c r="C791" s="30" t="n">
        <x:v>24484</x:v>
      </x:c>
      <x:c r="D791" s="32" t="str">
        <x:v>Tyrrhenian Painted Frog</x:v>
      </x:c>
      <x:c r="E791" s="32" t="str">
        <x:v>Discoglossus sardus</x:v>
      </x:c>
      <x:c r="F791" s="30" t="str">
        <x:v>uncommon</x:v>
      </x:c>
      <x:c r="G791" s="30" t="str">
        <x:v>standard</x:v>
      </x:c>
      <x:c r="H791" s="30" t="str">
        <x:v>year-round</x:v>
      </x:c>
      <x:c r="I7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2">
      <x:c r="A792" s="36" t="str">
        <x:v>mediterranean_europe</x:v>
      </x:c>
      <x:c r="B792" s="30" t="str">
        <x:v>mediterranean-europe-broad-draft-1</x:v>
      </x:c>
      <x:c r="C792" s="30" t="n">
        <x:v>66321</x:v>
      </x:c>
      <x:c r="D792" s="32" t="str">
        <x:v>Epirus Water Frog</x:v>
      </x:c>
      <x:c r="E792" s="32" t="str">
        <x:v>Pelophylax epeiroticus</x:v>
      </x:c>
      <x:c r="F792" s="30" t="str">
        <x:v>uncommon</x:v>
      </x:c>
      <x:c r="G792" s="30" t="str">
        <x:v>standard</x:v>
      </x:c>
      <x:c r="H792" s="30" t="str">
        <x:v>year-round</x:v>
      </x:c>
      <x:c r="I7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3">
      <x:c r="A793" s="36" t="str">
        <x:v>mediterranean_europe</x:v>
      </x:c>
      <x:c r="B793" s="30" t="str">
        <x:v>mediterranean-europe-broad-draft-1</x:v>
      </x:c>
      <x:c r="C793" s="30" t="n">
        <x:v>25312</x:v>
      </x:c>
      <x:c r="D793" s="32" t="str">
        <x:v>Common Spadefoot</x:v>
      </x:c>
      <x:c r="E793" s="32" t="str">
        <x:v>Pelobates fuscus</x:v>
      </x:c>
      <x:c r="F793" s="30" t="str">
        <x:v>rare</x:v>
      </x:c>
      <x:c r="G793" s="30" t="str">
        <x:v>standard</x:v>
      </x:c>
      <x:c r="H793" s="30" t="str">
        <x:v>year-round</x:v>
      </x:c>
      <x:c r="I7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4">
      <x:c r="A794" s="36" t="str">
        <x:v>mediterranean_europe</x:v>
      </x:c>
      <x:c r="B794" s="30" t="str">
        <x:v>mediterranean-europe-broad-draft-1</x:v>
      </x:c>
      <x:c r="C794" s="30" t="n">
        <x:v>25660</x:v>
      </x:c>
      <x:c r="D794" s="32" t="str">
        <x:v>Pyrenean frog</x:v>
      </x:c>
      <x:c r="E794" s="32" t="str">
        <x:v>Rana pyrenaica</x:v>
      </x:c>
      <x:c r="F794" s="30" t="str">
        <x:v>rare</x:v>
      </x:c>
      <x:c r="G794" s="30" t="str">
        <x:v>standard</x:v>
      </x:c>
      <x:c r="H794" s="30" t="str">
        <x:v>year-round</x:v>
      </x:c>
      <x:c r="I7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5">
      <x:c r="A795" s="36" t="str">
        <x:v>mediterranean_europe</x:v>
      </x:c>
      <x:c r="B795" s="30" t="str">
        <x:v>mediterranean-europe-broad-draft-1</x:v>
      </x:c>
      <x:c r="C795" s="30" t="n">
        <x:v>991929</x:v>
      </x:c>
      <x:c r="D795" s="32" t="str">
        <x:v>Cyprian Green Toad</x:v>
      </x:c>
      <x:c r="E795" s="32" t="str">
        <x:v>Bufotes cypriensis</x:v>
      </x:c>
      <x:c r="F795" s="30" t="str">
        <x:v>rare</x:v>
      </x:c>
      <x:c r="G795" s="30" t="str">
        <x:v>standard</x:v>
      </x:c>
      <x:c r="H795" s="30" t="str">
        <x:v>year-round</x:v>
      </x:c>
      <x:c r="I7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6">
      <x:c r="A796" s="36" t="str">
        <x:v>mediterranean_europe</x:v>
      </x:c>
      <x:c r="B796" s="30" t="str">
        <x:v>mediterranean-europe-broad-draft-1</x:v>
      </x:c>
      <x:c r="C796" s="30" t="n">
        <x:v>27840</x:v>
      </x:c>
      <x:c r="D796" s="32" t="str">
        <x:v>Southern Spectacled Salamander</x:v>
      </x:c>
      <x:c r="E796" s="32" t="str">
        <x:v>Salamandrina terdigitata</x:v>
      </x:c>
      <x:c r="F796" s="30" t="str">
        <x:v>rare</x:v>
      </x:c>
      <x:c r="G796" s="30" t="str">
        <x:v>standard</x:v>
      </x:c>
      <x:c r="H796" s="30" t="str">
        <x:v>year-round</x:v>
      </x:c>
      <x:c r="I7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7">
      <x:c r="A797" s="36" t="str">
        <x:v>mediterranean_europe</x:v>
      </x:c>
      <x:c r="B797" s="30" t="str">
        <x:v>mediterranean-europe-broad-draft-1</x:v>
      </x:c>
      <x:c r="C797" s="30" t="n">
        <x:v>24474</x:v>
      </x:c>
      <x:c r="D797" s="32" t="str">
        <x:v>Betic Midwife Toad</x:v>
      </x:c>
      <x:c r="E797" s="32" t="str">
        <x:v>Alytes dickhilleni</x:v>
      </x:c>
      <x:c r="F797" s="30" t="str">
        <x:v>rare</x:v>
      </x:c>
      <x:c r="G797" s="30" t="str">
        <x:v>standard</x:v>
      </x:c>
      <x:c r="H797" s="30" t="str">
        <x:v>year-round</x:v>
      </x:c>
      <x:c r="I7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8">
      <x:c r="A798" s="36" t="str">
        <x:v>mediterranean_europe</x:v>
      </x:c>
      <x:c r="B798" s="30" t="str">
        <x:v>mediterranean-europe-broad-draft-1</x:v>
      </x:c>
      <x:c r="C798" s="30" t="n">
        <x:v>66319</x:v>
      </x:c>
      <x:c r="D798" s="32" t="str">
        <x:v>Cretan Frog</x:v>
      </x:c>
      <x:c r="E798" s="32" t="str">
        <x:v>Pelophylax cretensis</x:v>
      </x:c>
      <x:c r="F798" s="30" t="str">
        <x:v>rare</x:v>
      </x:c>
      <x:c r="G798" s="30" t="str">
        <x:v>standard</x:v>
      </x:c>
      <x:c r="H798" s="30" t="str">
        <x:v>year-round</x:v>
      </x:c>
      <x:c r="I7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799">
      <x:c r="A799" s="36" t="str">
        <x:v>mediterranean_europe</x:v>
      </x:c>
      <x:c r="B799" s="30" t="str">
        <x:v>mediterranean-europe-broad-draft-1</x:v>
      </x:c>
      <x:c r="C799" s="30" t="n">
        <x:v>70647</x:v>
      </x:c>
      <x:c r="D799" s="32" t="str">
        <x:v>Eastern Tree Frog</x:v>
      </x:c>
      <x:c r="E799" s="32" t="str">
        <x:v>Hyla orientalis</x:v>
      </x:c>
      <x:c r="F799" s="30" t="str">
        <x:v>rare</x:v>
      </x:c>
      <x:c r="G799" s="30" t="str">
        <x:v>standard</x:v>
      </x:c>
      <x:c r="H799" s="30" t="str">
        <x:v>year-round</x:v>
      </x:c>
      <x:c r="I7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00">
      <x:c r="A800" s="36" t="str">
        <x:v>mediterranean_europe</x:v>
      </x:c>
      <x:c r="B800" s="30" t="str">
        <x:v>mediterranean-europe-broad-draft-1</x:v>
      </x:c>
      <x:c r="C800" s="30" t="n">
        <x:v>476257</x:v>
      </x:c>
      <x:c r="D800" s="32" t="str">
        <x:v>Sardinian Cave Salamander</x:v>
      </x:c>
      <x:c r="E800" s="32" t="str">
        <x:v>Speleomantes genei</x:v>
      </x:c>
      <x:c r="F800" s="30" t="str">
        <x:v>rare</x:v>
      </x:c>
      <x:c r="G800" s="30" t="str">
        <x:v>standard</x:v>
      </x:c>
      <x:c r="H800" s="30" t="str">
        <x:v>year-round</x:v>
      </x:c>
      <x:c r="I8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01">
      <x:c r="A801" s="36" t="str">
        <x:v>mediterranean_europe</x:v>
      </x:c>
      <x:c r="B801" s="30" t="str">
        <x:v>mediterranean-europe-broad-draft-1</x:v>
      </x:c>
      <x:c r="C801" s="30" t="n">
        <x:v>23798</x:v>
      </x:c>
      <x:c r="D801" s="32" t="str">
        <x:v>Lemon-yellow Tree Frog</x:v>
      </x:c>
      <x:c r="E801" s="32" t="str">
        <x:v>Hyla savignyi</x:v>
      </x:c>
      <x:c r="F801" s="30" t="str">
        <x:v>very_rare</x:v>
      </x:c>
      <x:c r="G801" s="30" t="str">
        <x:v>standard</x:v>
      </x:c>
      <x:c r="H801" s="30" t="str">
        <x:v>year-round</x:v>
      </x:c>
      <x:c r="I8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02">
      <x:c r="A802" s="36" t="str">
        <x:v>east_africa</x:v>
      </x:c>
      <x:c r="B802" s="30" t="str">
        <x:v>east-africa-broad-draft-1</x:v>
      </x:c>
      <x:c r="C802" s="30" t="n">
        <x:v>43694</x:v>
      </x:c>
      <x:c r="D802" s="32" t="str">
        <x:v>African Savanna Elephant</x:v>
      </x:c>
      <x:c r="E802" s="32" t="str">
        <x:v>Loxodonta africana</x:v>
      </x:c>
      <x:c r="F802" s="30" t="str">
        <x:v>common</x:v>
      </x:c>
      <x:c r="G802" s="30" t="str">
        <x:v>legendary</x:v>
      </x:c>
      <x:c r="H802" s="30" t="str">
        <x:v>year-round</x:v>
      </x:c>
      <x:c r="I802" s="37" t="str">
        <x:v>Owner-managed east_africa icon checklist; imported from east_africa_checklists.csv. Encounter rarity and prestige are curated game metadata. Automated rarity: inaturalist-regional-frequency-v1.</x:v>
      </x:c>
    </x:row>
    <x:row r="803">
      <x:c r="A803" s="36" t="str">
        <x:v>east_africa</x:v>
      </x:c>
      <x:c r="B803" s="30" t="str">
        <x:v>east-africa-broad-draft-1</x:v>
      </x:c>
      <x:c r="C803" s="30" t="n">
        <x:v>42149</x:v>
      </x:c>
      <x:c r="D803" s="32" t="str">
        <x:v>Common Hippopotamus</x:v>
      </x:c>
      <x:c r="E803" s="32" t="str">
        <x:v>Hippopotamus amphibius</x:v>
      </x:c>
      <x:c r="F803" s="30" t="str">
        <x:v>common</x:v>
      </x:c>
      <x:c r="G803" s="30" t="str">
        <x:v>standard</x:v>
      </x:c>
      <x:c r="H803" s="30" t="str">
        <x:v>year-round</x:v>
      </x:c>
      <x:c r="I803" s="37" t="str">
        <x:v>Owner-managed east_africa essential checklist; imported from east_africa_checklists.csv. Encounter rarity and prestige are curated game metadata. Automated rarity: inaturalist-regional-frequency-v1.</x:v>
      </x:c>
    </x:row>
    <x:row r="804">
      <x:c r="A804" s="36" t="str">
        <x:v>east_africa</x:v>
      </x:c>
      <x:c r="B804" s="30" t="str">
        <x:v>east-africa-broad-draft-1</x:v>
      </x:c>
      <x:c r="C804" s="30" t="n">
        <x:v>74832</x:v>
      </x:c>
      <x:c r="D804" s="32" t="str">
        <x:v>Olive Baboon</x:v>
      </x:c>
      <x:c r="E804" s="32" t="str">
        <x:v>Papio anubis</x:v>
      </x:c>
      <x:c r="F804" s="30" t="str">
        <x:v>common</x:v>
      </x:c>
      <x:c r="G804" s="30" t="str">
        <x:v>standard</x:v>
      </x:c>
      <x:c r="H804" s="30" t="str">
        <x:v>year-round</x:v>
      </x:c>
      <x:c r="I8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05">
      <x:c r="A805" s="36" t="str">
        <x:v>east_africa</x:v>
      </x:c>
      <x:c r="B805" s="30" t="str">
        <x:v>east-africa-broad-draft-1</x:v>
      </x:c>
      <x:c r="C805" s="30" t="n">
        <x:v>41886</x:v>
      </x:c>
      <x:c r="D805" s="32" t="str">
        <x:v>Spotted Hyena</x:v>
      </x:c>
      <x:c r="E805" s="32" t="str">
        <x:v>Crocuta crocuta</x:v>
      </x:c>
      <x:c r="F805" s="30" t="str">
        <x:v>common</x:v>
      </x:c>
      <x:c r="G805" s="30" t="str">
        <x:v>standard</x:v>
      </x:c>
      <x:c r="H805" s="30" t="str">
        <x:v>year-round</x:v>
      </x:c>
      <x:c r="I805" s="37" t="str">
        <x:v>Owner-managed east_africa essential checklist; imported from east_africa_checklists.csv. Encounter rarity and prestige are curated game metadata. Automated rarity: inaturalist-regional-frequency-v1.</x:v>
      </x:c>
    </x:row>
    <x:row r="806">
      <x:c r="A806" s="36" t="str">
        <x:v>east_africa</x:v>
      </x:c>
      <x:c r="B806" s="30" t="str">
        <x:v>east-africa-broad-draft-1</x:v>
      </x:c>
      <x:c r="C806" s="30" t="n">
        <x:v>68137</x:v>
      </x:c>
      <x:c r="D806" s="32" t="str">
        <x:v>Vervet Monkey</x:v>
      </x:c>
      <x:c r="E806" s="32" t="str">
        <x:v>Chlorocebus pygerythrus</x:v>
      </x:c>
      <x:c r="F806" s="30" t="str">
        <x:v>common</x:v>
      </x:c>
      <x:c r="G806" s="30" t="str">
        <x:v>standard</x:v>
      </x:c>
      <x:c r="H806" s="30" t="str">
        <x:v>year-round</x:v>
      </x:c>
      <x:c r="I8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07">
      <x:c r="A807" s="36" t="str">
        <x:v>east_africa</x:v>
      </x:c>
      <x:c r="B807" s="30" t="str">
        <x:v>east-africa-broad-draft-1</x:v>
      </x:c>
      <x:c r="C807" s="30" t="n">
        <x:v>42122</x:v>
      </x:c>
      <x:c r="D807" s="32" t="str">
        <x:v>Common Warthog</x:v>
      </x:c>
      <x:c r="E807" s="32" t="str">
        <x:v>Phacochoerus africanus</x:v>
      </x:c>
      <x:c r="F807" s="30" t="str">
        <x:v>common</x:v>
      </x:c>
      <x:c r="G807" s="30" t="str">
        <x:v>standard</x:v>
      </x:c>
      <x:c r="H807" s="30" t="str">
        <x:v>year-round</x:v>
      </x:c>
      <x:c r="I807" s="37" t="str">
        <x:v>Owner-managed east_africa essential checklist; imported from east_africa_checklists.csv. Encounter rarity and prestige are curated game metadata. Automated rarity: inaturalist-regional-frequency-v1.</x:v>
      </x:c>
    </x:row>
    <x:row r="808">
      <x:c r="A808" s="36" t="str">
        <x:v>east_africa</x:v>
      </x:c>
      <x:c r="B808" s="30" t="str">
        <x:v>east-africa-broad-draft-1</x:v>
      </x:c>
      <x:c r="C808" s="30" t="n">
        <x:v>74321</x:v>
      </x:c>
      <x:c r="D808" s="32" t="str">
        <x:v>Thomson's Gazelle</x:v>
      </x:c>
      <x:c r="E808" s="32" t="str">
        <x:v>Eudorcas thomsonii</x:v>
      </x:c>
      <x:c r="F808" s="30" t="str">
        <x:v>common</x:v>
      </x:c>
      <x:c r="G808" s="30" t="str">
        <x:v>standard</x:v>
      </x:c>
      <x:c r="H808" s="30" t="str">
        <x:v>year-round</x:v>
      </x:c>
      <x:c r="I8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09">
      <x:c r="A809" s="36" t="str">
        <x:v>east_africa</x:v>
      </x:c>
      <x:c r="B809" s="30" t="str">
        <x:v>east-africa-broad-draft-1</x:v>
      </x:c>
      <x:c r="C809" s="30" t="n">
        <x:v>43335</x:v>
      </x:c>
      <x:c r="D809" s="32" t="str">
        <x:v>Plains Zebra</x:v>
      </x:c>
      <x:c r="E809" s="32" t="str">
        <x:v>Equus quagga</x:v>
      </x:c>
      <x:c r="F809" s="30" t="str">
        <x:v>common</x:v>
      </x:c>
      <x:c r="G809" s="30" t="str">
        <x:v>standard</x:v>
      </x:c>
      <x:c r="H809" s="30" t="str">
        <x:v>year-round</x:v>
      </x:c>
      <x:c r="I809" s="37" t="str">
        <x:v>Owner-managed east_africa essential checklist; imported from east_africa_checklists.csv. Encounter rarity and prestige are curated game metadata. Automated rarity: inaturalist-regional-frequency-v1.</x:v>
      </x:c>
    </x:row>
    <x:row r="810">
      <x:c r="A810" s="36" t="str">
        <x:v>east_africa</x:v>
      </x:c>
      <x:c r="B810" s="30" t="str">
        <x:v>east-africa-broad-draft-1</x:v>
      </x:c>
      <x:c r="C810" s="30" t="n">
        <x:v>42278</x:v>
      </x:c>
      <x:c r="D810" s="32" t="str">
        <x:v>Impala</x:v>
      </x:c>
      <x:c r="E810" s="32" t="str">
        <x:v>Aepyceros melampus</x:v>
      </x:c>
      <x:c r="F810" s="30" t="str">
        <x:v>common</x:v>
      </x:c>
      <x:c r="G810" s="30" t="str">
        <x:v>standard</x:v>
      </x:c>
      <x:c r="H810" s="30" t="str">
        <x:v>year-round</x:v>
      </x:c>
      <x:c r="I8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1">
      <x:c r="A811" s="36" t="str">
        <x:v>east_africa</x:v>
      </x:c>
      <x:c r="B811" s="30" t="str">
        <x:v>east-africa-broad-draft-1</x:v>
      </x:c>
      <x:c r="C811" s="30" t="n">
        <x:v>41921</x:v>
      </x:c>
      <x:c r="D811" s="32" t="str">
        <x:v>Banded Mongoose</x:v>
      </x:c>
      <x:c r="E811" s="32" t="str">
        <x:v>Mungos mungo</x:v>
      </x:c>
      <x:c r="F811" s="30" t="str">
        <x:v>common</x:v>
      </x:c>
      <x:c r="G811" s="30" t="str">
        <x:v>standard</x:v>
      </x:c>
      <x:c r="H811" s="30" t="str">
        <x:v>year-round</x:v>
      </x:c>
      <x:c r="I8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2">
      <x:c r="A812" s="36" t="str">
        <x:v>east_africa</x:v>
      </x:c>
      <x:c r="B812" s="30" t="str">
        <x:v>east-africa-broad-draft-1</x:v>
      </x:c>
      <x:c r="C812" s="30" t="n">
        <x:v>43088</x:v>
      </x:c>
      <x:c r="D812" s="32" t="str">
        <x:v>Bush Hyrax</x:v>
      </x:c>
      <x:c r="E812" s="32" t="str">
        <x:v>Heterohyrax brucei</x:v>
      </x:c>
      <x:c r="F812" s="30" t="str">
        <x:v>common</x:v>
      </x:c>
      <x:c r="G812" s="30" t="str">
        <x:v>standard</x:v>
      </x:c>
      <x:c r="H812" s="30" t="str">
        <x:v>year-round</x:v>
      </x:c>
      <x:c r="I8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3">
      <x:c r="A813" s="36" t="str">
        <x:v>east_africa</x:v>
      </x:c>
      <x:c r="B813" s="30" t="str">
        <x:v>east-africa-broad-draft-1</x:v>
      </x:c>
      <x:c r="C813" s="30" t="n">
        <x:v>42328</x:v>
      </x:c>
      <x:c r="D813" s="32" t="str">
        <x:v>Waterbuck</x:v>
      </x:c>
      <x:c r="E813" s="32" t="str">
        <x:v>Kobus ellipsiprymnus</x:v>
      </x:c>
      <x:c r="F813" s="30" t="str">
        <x:v>common</x:v>
      </x:c>
      <x:c r="G813" s="30" t="str">
        <x:v>standard</x:v>
      </x:c>
      <x:c r="H813" s="30" t="str">
        <x:v>year-round</x:v>
      </x:c>
      <x:c r="I8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4">
      <x:c r="A814" s="36" t="str">
        <x:v>east_africa</x:v>
      </x:c>
      <x:c r="B814" s="30" t="str">
        <x:v>east-africa-broad-draft-1</x:v>
      </x:c>
      <x:c r="C814" s="30" t="n">
        <x:v>42405</x:v>
      </x:c>
      <x:c r="D814" s="32" t="str">
        <x:v>African Buffalo</x:v>
      </x:c>
      <x:c r="E814" s="32" t="str">
        <x:v>Syncerus caffer</x:v>
      </x:c>
      <x:c r="F814" s="30" t="str">
        <x:v>common</x:v>
      </x:c>
      <x:c r="G814" s="30" t="str">
        <x:v>standard</x:v>
      </x:c>
      <x:c r="H814" s="30" t="str">
        <x:v>year-round</x:v>
      </x:c>
      <x:c r="I814" s="37" t="str">
        <x:v>Owner-managed east_africa essential checklist; imported from east_africa_checklists.csv. Encounter rarity and prestige are curated game metadata. Automated rarity: inaturalist-regional-frequency-v1.</x:v>
      </x:c>
    </x:row>
    <x:row r="815">
      <x:c r="A815" s="36" t="str">
        <x:v>east_africa</x:v>
      </x:c>
      <x:c r="B815" s="30" t="str">
        <x:v>east-africa-broad-draft-1</x:v>
      </x:c>
      <x:c r="C815" s="30" t="n">
        <x:v>67683</x:v>
      </x:c>
      <x:c r="D815" s="32" t="str">
        <x:v>Yellow Baboon</x:v>
      </x:c>
      <x:c r="E815" s="32" t="str">
        <x:v>Papio cynocephalus</x:v>
      </x:c>
      <x:c r="F815" s="30" t="str">
        <x:v>common</x:v>
      </x:c>
      <x:c r="G815" s="30" t="str">
        <x:v>standard</x:v>
      </x:c>
      <x:c r="H815" s="30" t="str">
        <x:v>year-round</x:v>
      </x:c>
      <x:c r="I8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6">
      <x:c r="A816" s="36" t="str">
        <x:v>east_africa</x:v>
      </x:c>
      <x:c r="B816" s="30" t="str">
        <x:v>east-africa-broad-draft-1</x:v>
      </x:c>
      <x:c r="C816" s="30" t="n">
        <x:v>1431867</x:v>
      </x:c>
      <x:c r="D816" s="32" t="str">
        <x:v>Southern Bushbuck</x:v>
      </x:c>
      <x:c r="E816" s="32" t="str">
        <x:v>Tragelaphus sylvaticus</x:v>
      </x:c>
      <x:c r="F816" s="30" t="str">
        <x:v>common</x:v>
      </x:c>
      <x:c r="G816" s="30" t="str">
        <x:v>standard</x:v>
      </x:c>
      <x:c r="H816" s="30" t="str">
        <x:v>year-round</x:v>
      </x:c>
      <x:c r="I8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7">
      <x:c r="A817" s="36" t="str">
        <x:v>east_africa</x:v>
      </x:c>
      <x:c r="B817" s="30" t="str">
        <x:v>east-africa-broad-draft-1</x:v>
      </x:c>
      <x:c r="C817" s="30" t="n">
        <x:v>1510573</x:v>
      </x:c>
      <x:c r="D817" s="32" t="str">
        <x:v>Reticulated Giraffe</x:v>
      </x:c>
      <x:c r="E817" s="32" t="str">
        <x:v>Giraffa reticulata</x:v>
      </x:c>
      <x:c r="F817" s="30" t="str">
        <x:v>common</x:v>
      </x:c>
      <x:c r="G817" s="30" t="str">
        <x:v>standard</x:v>
      </x:c>
      <x:c r="H817" s="30" t="str">
        <x:v>year-round</x:v>
      </x:c>
      <x:c r="I8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8">
      <x:c r="A818" s="36" t="str">
        <x:v>east_africa</x:v>
      </x:c>
      <x:c r="B818" s="30" t="str">
        <x:v>east-africa-broad-draft-1</x:v>
      </x:c>
      <x:c r="C818" s="30" t="n">
        <x:v>41906</x:v>
      </x:c>
      <x:c r="D818" s="32" t="str">
        <x:v>Common Dwarf Mongoose</x:v>
      </x:c>
      <x:c r="E818" s="32" t="str">
        <x:v>Helogale parvula</x:v>
      </x:c>
      <x:c r="F818" s="30" t="str">
        <x:v>common</x:v>
      </x:c>
      <x:c r="G818" s="30" t="str">
        <x:v>standard</x:v>
      </x:c>
      <x:c r="H818" s="30" t="str">
        <x:v>year-round</x:v>
      </x:c>
      <x:c r="I8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19">
      <x:c r="A819" s="36" t="str">
        <x:v>east_africa</x:v>
      </x:c>
      <x:c r="B819" s="30" t="str">
        <x:v>east-africa-broad-draft-1</x:v>
      </x:c>
      <x:c r="C819" s="30" t="n">
        <x:v>1430935</x:v>
      </x:c>
      <x:c r="D819" s="32" t="str">
        <x:v>Cavendish's Dik-Dik</x:v>
      </x:c>
      <x:c r="E819" s="32" t="str">
        <x:v>Madoqua cavendishi</x:v>
      </x:c>
      <x:c r="F819" s="30" t="str">
        <x:v>common</x:v>
      </x:c>
      <x:c r="G819" s="30" t="str">
        <x:v>standard</x:v>
      </x:c>
      <x:c r="H819" s="30" t="str">
        <x:v>year-round</x:v>
      </x:c>
      <x:c r="I8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0">
      <x:c r="A820" s="36" t="str">
        <x:v>east_africa</x:v>
      </x:c>
      <x:c r="B820" s="30" t="str">
        <x:v>east-africa-broad-draft-1</x:v>
      </x:c>
      <x:c r="C820" s="30" t="n">
        <x:v>43486</x:v>
      </x:c>
      <x:c r="D820" s="32" t="str">
        <x:v>Blue Monkey</x:v>
      </x:c>
      <x:c r="E820" s="32" t="str">
        <x:v>Cercopithecus mitis</x:v>
      </x:c>
      <x:c r="F820" s="30" t="str">
        <x:v>common</x:v>
      </x:c>
      <x:c r="G820" s="30" t="str">
        <x:v>standard</x:v>
      </x:c>
      <x:c r="H820" s="30" t="str">
        <x:v>year-round</x:v>
      </x:c>
      <x:c r="I8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1">
      <x:c r="A821" s="36" t="str">
        <x:v>east_africa</x:v>
      </x:c>
      <x:c r="B821" s="30" t="str">
        <x:v>east-africa-broad-draft-1</x:v>
      </x:c>
      <x:c r="C821" s="30" t="n">
        <x:v>1210966</x:v>
      </x:c>
      <x:c r="D821" s="32" t="str">
        <x:v>Black-backed Jackal</x:v>
      </x:c>
      <x:c r="E821" s="32" t="str">
        <x:v>Lupulella mesomelas</x:v>
      </x:c>
      <x:c r="F821" s="30" t="str">
        <x:v>common</x:v>
      </x:c>
      <x:c r="G821" s="30" t="str">
        <x:v>standard</x:v>
      </x:c>
      <x:c r="H821" s="30" t="str">
        <x:v>year-round</x:v>
      </x:c>
      <x:c r="I8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2">
      <x:c r="A822" s="36" t="str">
        <x:v>east_africa</x:v>
      </x:c>
      <x:c r="B822" s="30" t="str">
        <x:v>east-africa-broad-draft-1</x:v>
      </x:c>
      <x:c r="C822" s="30" t="n">
        <x:v>42280</x:v>
      </x:c>
      <x:c r="D822" s="32" t="str">
        <x:v>Common Wildebeest</x:v>
      </x:c>
      <x:c r="E822" s="32" t="str">
        <x:v>Connochaetes taurinus</x:v>
      </x:c>
      <x:c r="F822" s="30" t="str">
        <x:v>common</x:v>
      </x:c>
      <x:c r="G822" s="30" t="str">
        <x:v>standard</x:v>
      </x:c>
      <x:c r="H822" s="30" t="str">
        <x:v>year-round</x:v>
      </x:c>
      <x:c r="I8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3">
      <x:c r="A823" s="36" t="str">
        <x:v>east_africa</x:v>
      </x:c>
      <x:c r="B823" s="30" t="str">
        <x:v>east-africa-broad-draft-1</x:v>
      </x:c>
      <x:c r="C823" s="30" t="n">
        <x:v>43339</x:v>
      </x:c>
      <x:c r="D823" s="32" t="str">
        <x:v>Grévy's Zebra</x:v>
      </x:c>
      <x:c r="E823" s="32" t="str">
        <x:v>Equus grevyi</x:v>
      </x:c>
      <x:c r="F823" s="30" t="str">
        <x:v>common</x:v>
      </x:c>
      <x:c r="G823" s="30" t="str">
        <x:v>standard</x:v>
      </x:c>
      <x:c r="H823" s="30" t="str">
        <x:v>year-round</x:v>
      </x:c>
      <x:c r="I8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4">
      <x:c r="A824" s="36" t="str">
        <x:v>east_africa</x:v>
      </x:c>
      <x:c r="B824" s="30" t="str">
        <x:v>east-africa-broad-draft-1</x:v>
      </x:c>
      <x:c r="C824" s="30" t="n">
        <x:v>326032</x:v>
      </x:c>
      <x:c r="D824" s="32" t="str">
        <x:v>Zanzibar Red Colobus Monkey</x:v>
      </x:c>
      <x:c r="E824" s="32" t="str">
        <x:v>Piliocolobus kirkii</x:v>
      </x:c>
      <x:c r="F824" s="30" t="str">
        <x:v>common</x:v>
      </x:c>
      <x:c r="G824" s="30" t="str">
        <x:v>standard</x:v>
      </x:c>
      <x:c r="H824" s="30" t="str">
        <x:v>year-round</x:v>
      </x:c>
      <x:c r="I8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5">
      <x:c r="A825" s="36" t="str">
        <x:v>east_africa</x:v>
      </x:c>
      <x:c r="B825" s="30" t="str">
        <x:v>east-africa-broad-draft-1</x:v>
      </x:c>
      <x:c r="C825" s="30" t="n">
        <x:v>42304</x:v>
      </x:c>
      <x:c r="D825" s="32" t="str">
        <x:v>Bohor Reedbuck</x:v>
      </x:c>
      <x:c r="E825" s="32" t="str">
        <x:v>Redunca redunca</x:v>
      </x:c>
      <x:c r="F825" s="30" t="str">
        <x:v>common</x:v>
      </x:c>
      <x:c r="G825" s="30" t="str">
        <x:v>standard</x:v>
      </x:c>
      <x:c r="H825" s="30" t="str">
        <x:v>year-round</x:v>
      </x:c>
      <x:c r="I8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6">
      <x:c r="A826" s="36" t="str">
        <x:v>east_africa</x:v>
      </x:c>
      <x:c r="B826" s="30" t="str">
        <x:v>east-africa-broad-draft-1</x:v>
      </x:c>
      <x:c r="C826" s="30" t="n">
        <x:v>1430933</x:v>
      </x:c>
      <x:c r="D826" s="32" t="str">
        <x:v>Hinde's Dik-Dik</x:v>
      </x:c>
      <x:c r="E826" s="32" t="str">
        <x:v>Madoqua hindei</x:v>
      </x:c>
      <x:c r="F826" s="30" t="str">
        <x:v>common</x:v>
      </x:c>
      <x:c r="G826" s="30" t="str">
        <x:v>standard</x:v>
      </x:c>
      <x:c r="H826" s="30" t="str">
        <x:v>year-round</x:v>
      </x:c>
      <x:c r="I8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7">
      <x:c r="A827" s="36" t="str">
        <x:v>east_africa</x:v>
      </x:c>
      <x:c r="B827" s="30" t="str">
        <x:v>east-africa-broad-draft-1</x:v>
      </x:c>
      <x:c r="C827" s="30" t="n">
        <x:v>1643992</x:v>
      </x:c>
      <x:c r="D827" s="32" t="str">
        <x:v>Rusty-spotted Genet</x:v>
      </x:c>
      <x:c r="E827" s="32" t="str">
        <x:v>Genetta fieldiana</x:v>
      </x:c>
      <x:c r="F827" s="30" t="str">
        <x:v>common</x:v>
      </x:c>
      <x:c r="G827" s="30" t="str">
        <x:v>standard</x:v>
      </x:c>
      <x:c r="H827" s="30" t="str">
        <x:v>year-round</x:v>
      </x:c>
      <x:c r="I8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28">
      <x:c r="A828" s="36" t="str">
        <x:v>east_africa</x:v>
      </x:c>
      <x:c r="B828" s="30" t="str">
        <x:v>east-africa-broad-draft-1</x:v>
      </x:c>
      <x:c r="C828" s="30" t="n">
        <x:v>1510574</x:v>
      </x:c>
      <x:c r="D828" s="32" t="str">
        <x:v>Maasai Giraffe</x:v>
      </x:c>
      <x:c r="E828" s="32" t="str">
        <x:v>Giraffa tippelskirchi</x:v>
      </x:c>
      <x:c r="F828" s="30" t="str">
        <x:v>common</x:v>
      </x:c>
      <x:c r="G828" s="30" t="str">
        <x:v>standard</x:v>
      </x:c>
      <x:c r="H828" s="30" t="str">
        <x:v>year-round</x:v>
      </x:c>
      <x:c r="I828" s="37" t="str">
        <x:v>Owner-managed east_africa essential checklist; imported from east_africa_checklists.csv. Encounter rarity and prestige are curated game metadata. Automated rarity: inaturalist-regional-frequency-v1.</x:v>
      </x:c>
    </x:row>
    <x:row r="829">
      <x:c r="A829" s="36" t="str">
        <x:v>east_africa</x:v>
      </x:c>
      <x:c r="B829" s="30" t="str">
        <x:v>east-africa-broad-draft-1</x:v>
      </x:c>
      <x:c r="C829" s="30" t="n">
        <x:v>46206</x:v>
      </x:c>
      <x:c r="D829" s="32" t="str">
        <x:v>Unstriped Ground Squirrel</x:v>
      </x:c>
      <x:c r="E829" s="32" t="str">
        <x:v>Xerus rutilus</x:v>
      </x:c>
      <x:c r="F829" s="30" t="str">
        <x:v>common</x:v>
      </x:c>
      <x:c r="G829" s="30" t="str">
        <x:v>standard</x:v>
      </x:c>
      <x:c r="H829" s="30" t="str">
        <x:v>year-round</x:v>
      </x:c>
      <x:c r="I8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0">
      <x:c r="A830" s="36" t="str">
        <x:v>east_africa</x:v>
      </x:c>
      <x:c r="B830" s="30" t="str">
        <x:v>east-africa-broad-draft-1</x:v>
      </x:c>
      <x:c r="C830" s="30" t="n">
        <x:v>46116</x:v>
      </x:c>
      <x:c r="D830" s="32" t="str">
        <x:v>Ochre Bush Squirrel</x:v>
      </x:c>
      <x:c r="E830" s="32" t="str">
        <x:v>Paraxerus ochraceus</x:v>
      </x:c>
      <x:c r="F830" s="30" t="str">
        <x:v>common</x:v>
      </x:c>
      <x:c r="G830" s="30" t="str">
        <x:v>standard</x:v>
      </x:c>
      <x:c r="H830" s="30" t="str">
        <x:v>year-round</x:v>
      </x:c>
      <x:c r="I8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1">
      <x:c r="A831" s="36" t="str">
        <x:v>east_africa</x:v>
      </x:c>
      <x:c r="B831" s="30" t="str">
        <x:v>east-africa-broad-draft-1</x:v>
      </x:c>
      <x:c r="C831" s="30" t="n">
        <x:v>74770</x:v>
      </x:c>
      <x:c r="D831" s="32" t="str">
        <x:v>Suni</x:v>
      </x:c>
      <x:c r="E831" s="32" t="str">
        <x:v>Nesotragus moschatus</x:v>
      </x:c>
      <x:c r="F831" s="30" t="str">
        <x:v>common</x:v>
      </x:c>
      <x:c r="G831" s="30" t="str">
        <x:v>standard</x:v>
      </x:c>
      <x:c r="H831" s="30" t="str">
        <x:v>year-round</x:v>
      </x:c>
      <x:c r="I8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2">
      <x:c r="A832" s="36" t="str">
        <x:v>east_africa</x:v>
      </x:c>
      <x:c r="B832" s="30" t="str">
        <x:v>east-africa-broad-draft-1</x:v>
      </x:c>
      <x:c r="C832" s="30" t="n">
        <x:v>566540</x:v>
      </x:c>
      <x:c r="D832" s="32" t="str">
        <x:v>L'Hoest's Monkey</x:v>
      </x:c>
      <x:c r="E832" s="32" t="str">
        <x:v>Allochrocebus lhoesti</x:v>
      </x:c>
      <x:c r="F832" s="30" t="str">
        <x:v>common</x:v>
      </x:c>
      <x:c r="G832" s="30" t="str">
        <x:v>standard</x:v>
      </x:c>
      <x:c r="H832" s="30" t="str">
        <x:v>year-round</x:v>
      </x:c>
      <x:c r="I8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3">
      <x:c r="A833" s="36" t="str">
        <x:v>east_africa</x:v>
      </x:c>
      <x:c r="B833" s="30" t="str">
        <x:v>east-africa-broad-draft-1</x:v>
      </x:c>
      <x:c r="C833" s="30" t="n">
        <x:v>41964</x:v>
      </x:c>
      <x:c r="D833" s="32" t="str">
        <x:v>Lion</x:v>
      </x:c>
      <x:c r="E833" s="32" t="str">
        <x:v>Panthera leo</x:v>
      </x:c>
      <x:c r="F833" s="30" t="str">
        <x:v>common</x:v>
      </x:c>
      <x:c r="G833" s="30" t="str">
        <x:v>legendary</x:v>
      </x:c>
      <x:c r="H833" s="30" t="str">
        <x:v>year-round</x:v>
      </x:c>
      <x:c r="I833" s="37" t="str">
        <x:v>Owner-managed east_africa icon checklist; imported from east_africa_checklists.csv. Encounter rarity and prestige are curated game metadata. Automated rarity: inaturalist-regional-frequency-v1.</x:v>
      </x:c>
    </x:row>
    <x:row r="834">
      <x:c r="A834" s="36" t="str">
        <x:v>east_africa</x:v>
      </x:c>
      <x:c r="B834" s="30" t="str">
        <x:v>east-africa-broad-draft-1</x:v>
      </x:c>
      <x:c r="C834" s="30" t="n">
        <x:v>1075512</x:v>
      </x:c>
      <x:c r="D834" s="32" t="str">
        <x:v>Mount Kilimanjaro Guereza</x:v>
      </x:c>
      <x:c r="E834" s="32" t="str">
        <x:v>Colobus caudatus</x:v>
      </x:c>
      <x:c r="F834" s="30" t="str">
        <x:v>common</x:v>
      </x:c>
      <x:c r="G834" s="30" t="str">
        <x:v>standard</x:v>
      </x:c>
      <x:c r="H834" s="30" t="str">
        <x:v>year-round</x:v>
      </x:c>
      <x:c r="I8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5">
      <x:c r="A835" s="36" t="str">
        <x:v>east_africa</x:v>
      </x:c>
      <x:c r="B835" s="30" t="str">
        <x:v>east-africa-broad-draft-1</x:v>
      </x:c>
      <x:c r="C835" s="30" t="n">
        <x:v>42360</x:v>
      </x:c>
      <x:c r="D835" s="32" t="str">
        <x:v>Kirk's Dik-dik</x:v>
      </x:c>
      <x:c r="E835" s="32" t="str">
        <x:v>Madoqua kirkii</x:v>
      </x:c>
      <x:c r="F835" s="30" t="str">
        <x:v>common</x:v>
      </x:c>
      <x:c r="G835" s="30" t="str">
        <x:v>standard</x:v>
      </x:c>
      <x:c r="H835" s="30" t="str">
        <x:v>year-round</x:v>
      </x:c>
      <x:c r="I8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6">
      <x:c r="A836" s="36" t="str">
        <x:v>east_africa</x:v>
      </x:c>
      <x:c r="B836" s="30" t="str">
        <x:v>east-africa-broad-draft-1</x:v>
      </x:c>
      <x:c r="C836" s="30" t="n">
        <x:v>40827</x:v>
      </x:c>
      <x:c r="D836" s="32" t="str">
        <x:v>Straw-coloured Fruit Bat</x:v>
      </x:c>
      <x:c r="E836" s="32" t="str">
        <x:v>Eidolon helvum</x:v>
      </x:c>
      <x:c r="F836" s="30" t="str">
        <x:v>common</x:v>
      </x:c>
      <x:c r="G836" s="30" t="str">
        <x:v>standard</x:v>
      </x:c>
      <x:c r="H836" s="30" t="str">
        <x:v>year-round</x:v>
      </x:c>
      <x:c r="I8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7">
      <x:c r="A837" s="36" t="str">
        <x:v>east_africa</x:v>
      </x:c>
      <x:c r="B837" s="30" t="str">
        <x:v>east-africa-broad-draft-1</x:v>
      </x:c>
      <x:c r="C837" s="30" t="n">
        <x:v>1075514</x:v>
      </x:c>
      <x:c r="D837" s="32" t="str">
        <x:v>Mantled Guereza</x:v>
      </x:c>
      <x:c r="E837" s="32" t="str">
        <x:v>Colobus guereza</x:v>
      </x:c>
      <x:c r="F837" s="30" t="str">
        <x:v>common</x:v>
      </x:c>
      <x:c r="G837" s="30" t="str">
        <x:v>standard</x:v>
      </x:c>
      <x:c r="H837" s="30" t="str">
        <x:v>year-round</x:v>
      </x:c>
      <x:c r="I8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8">
      <x:c r="A838" s="36" t="str">
        <x:v>east_africa</x:v>
      </x:c>
      <x:c r="B838" s="30" t="str">
        <x:v>east-africa-broad-draft-1</x:v>
      </x:c>
      <x:c r="C838" s="30" t="n">
        <x:v>1431331</x:v>
      </x:c>
      <x:c r="D838" s="32" t="str">
        <x:v>Harvey's Duiker</x:v>
      </x:c>
      <x:c r="E838" s="32" t="str">
        <x:v>Cephalophorus harveyi</x:v>
      </x:c>
      <x:c r="F838" s="30" t="str">
        <x:v>common</x:v>
      </x:c>
      <x:c r="G838" s="30" t="str">
        <x:v>standard</x:v>
      </x:c>
      <x:c r="H838" s="30" t="str">
        <x:v>year-round</x:v>
      </x:c>
      <x:c r="I8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39">
      <x:c r="A839" s="36" t="str">
        <x:v>east_africa</x:v>
      </x:c>
      <x:c r="B839" s="30" t="str">
        <x:v>east-africa-broad-draft-1</x:v>
      </x:c>
      <x:c r="C839" s="30" t="n">
        <x:v>41328</x:v>
      </x:c>
      <x:c r="D839" s="32" t="str">
        <x:v>Yellow-winged Bat</x:v>
      </x:c>
      <x:c r="E839" s="32" t="str">
        <x:v>Lavia frons</x:v>
      </x:c>
      <x:c r="F839" s="30" t="str">
        <x:v>common</x:v>
      </x:c>
      <x:c r="G839" s="30" t="str">
        <x:v>standard</x:v>
      </x:c>
      <x:c r="H839" s="30" t="str">
        <x:v>year-round</x:v>
      </x:c>
      <x:c r="I8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0">
      <x:c r="A840" s="36" t="str">
        <x:v>east_africa</x:v>
      </x:c>
      <x:c r="B840" s="30" t="str">
        <x:v>east-africa-broad-draft-1</x:v>
      </x:c>
      <x:c r="C840" s="30" t="n">
        <x:v>45671</x:v>
      </x:c>
      <x:c r="D840" s="32" t="str">
        <x:v>Nile Grass Rat</x:v>
      </x:c>
      <x:c r="E840" s="32" t="str">
        <x:v>Arvicanthis niloticus</x:v>
      </x:c>
      <x:c r="F840" s="30" t="str">
        <x:v>common</x:v>
      </x:c>
      <x:c r="G840" s="30" t="str">
        <x:v>standard</x:v>
      </x:c>
      <x:c r="H840" s="30" t="str">
        <x:v>year-round</x:v>
      </x:c>
      <x:c r="I8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1">
      <x:c r="A841" s="36" t="str">
        <x:v>east_africa</x:v>
      </x:c>
      <x:c r="B841" s="30" t="str">
        <x:v>east-africa-broad-draft-1</x:v>
      </x:c>
      <x:c r="C841" s="30" t="n">
        <x:v>502997</x:v>
      </x:c>
      <x:c r="D841" s="32" t="str">
        <x:v>Ashy Red Colobus</x:v>
      </x:c>
      <x:c r="E841" s="32" t="str">
        <x:v>Piliocolobus tephrosceles</x:v>
      </x:c>
      <x:c r="F841" s="30" t="str">
        <x:v>common</x:v>
      </x:c>
      <x:c r="G841" s="30" t="str">
        <x:v>standard</x:v>
      </x:c>
      <x:c r="H841" s="30" t="str">
        <x:v>year-round</x:v>
      </x:c>
      <x:c r="I8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2">
      <x:c r="A842" s="36" t="str">
        <x:v>east_africa</x:v>
      </x:c>
      <x:c r="B842" s="30" t="str">
        <x:v>east-africa-broad-draft-1</x:v>
      </x:c>
      <x:c r="C842" s="30" t="n">
        <x:v>825289</x:v>
      </x:c>
      <x:c r="D842" s="32" t="str">
        <x:v>African Wolf</x:v>
      </x:c>
      <x:c r="E842" s="32" t="str">
        <x:v>Canis lupaster</x:v>
      </x:c>
      <x:c r="F842" s="30" t="str">
        <x:v>common</x:v>
      </x:c>
      <x:c r="G842" s="30" t="str">
        <x:v>standard</x:v>
      </x:c>
      <x:c r="H842" s="30" t="str">
        <x:v>year-round</x:v>
      </x:c>
      <x:c r="I8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3">
      <x:c r="A843" s="36" t="str">
        <x:v>east_africa</x:v>
      </x:c>
      <x:c r="B843" s="30" t="str">
        <x:v>east-africa-broad-draft-1</x:v>
      </x:c>
      <x:c r="C843" s="30" t="n">
        <x:v>43523</x:v>
      </x:c>
      <x:c r="D843" s="32" t="str">
        <x:v>Grivet Monkey</x:v>
      </x:c>
      <x:c r="E843" s="32" t="str">
        <x:v>Chlorocebus aethiops</x:v>
      </x:c>
      <x:c r="F843" s="30" t="str">
        <x:v>common</x:v>
      </x:c>
      <x:c r="G843" s="30" t="str">
        <x:v>standard</x:v>
      </x:c>
      <x:c r="H843" s="30" t="str">
        <x:v>year-round</x:v>
      </x:c>
      <x:c r="I8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4">
      <x:c r="A844" s="36" t="str">
        <x:v>east_africa</x:v>
      </x:c>
      <x:c r="B844" s="30" t="str">
        <x:v>east-africa-broad-draft-1</x:v>
      </x:c>
      <x:c r="C844" s="30" t="n">
        <x:v>43226</x:v>
      </x:c>
      <x:c r="D844" s="32" t="str">
        <x:v>Four-toed Sengi</x:v>
      </x:c>
      <x:c r="E844" s="32" t="str">
        <x:v>Petrodromus tetradactylus</x:v>
      </x:c>
      <x:c r="F844" s="30" t="str">
        <x:v>common</x:v>
      </x:c>
      <x:c r="G844" s="30" t="str">
        <x:v>standard</x:v>
      </x:c>
      <x:c r="H844" s="30" t="str">
        <x:v>year-round</x:v>
      </x:c>
      <x:c r="I8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5">
      <x:c r="A845" s="36" t="str">
        <x:v>east_africa</x:v>
      </x:c>
      <x:c r="B845" s="30" t="str">
        <x:v>east-africa-broad-draft-1</x:v>
      </x:c>
      <x:c r="C845" s="30" t="n">
        <x:v>1558607</x:v>
      </x:c>
      <x:c r="D845" s="32" t="str">
        <x:v>African Savanna Hare</x:v>
      </x:c>
      <x:c r="E845" s="32" t="str">
        <x:v>Lepus microtis</x:v>
      </x:c>
      <x:c r="F845" s="30" t="str">
        <x:v>common</x:v>
      </x:c>
      <x:c r="G845" s="30" t="str">
        <x:v>standard</x:v>
      </x:c>
      <x:c r="H845" s="30" t="str">
        <x:v>year-round</x:v>
      </x:c>
      <x:c r="I8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6">
      <x:c r="A846" s="36" t="str">
        <x:v>east_africa</x:v>
      </x:c>
      <x:c r="B846" s="30" t="str">
        <x:v>east-africa-broad-draft-1</x:v>
      </x:c>
      <x:c r="C846" s="30" t="n">
        <x:v>43086</x:v>
      </x:c>
      <x:c r="D846" s="32" t="str">
        <x:v>Rock Hyrax</x:v>
      </x:c>
      <x:c r="E846" s="32" t="str">
        <x:v>Procavia capensis</x:v>
      </x:c>
      <x:c r="F846" s="30" t="str">
        <x:v>common</x:v>
      </x:c>
      <x:c r="G846" s="30" t="str">
        <x:v>standard</x:v>
      </x:c>
      <x:c r="H846" s="30" t="str">
        <x:v>year-round</x:v>
      </x:c>
      <x:c r="I8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7">
      <x:c r="A847" s="36" t="str">
        <x:v>east_africa</x:v>
      </x:c>
      <x:c r="B847" s="30" t="str">
        <x:v>east-africa-broad-draft-1</x:v>
      </x:c>
      <x:c r="C847" s="30" t="n">
        <x:v>1430932</x:v>
      </x:c>
      <x:c r="D847" s="32" t="str">
        <x:v>Thomas's Dik-dik</x:v>
      </x:c>
      <x:c r="E847" s="32" t="str">
        <x:v>Madoqua thomasi</x:v>
      </x:c>
      <x:c r="F847" s="30" t="str">
        <x:v>common</x:v>
      </x:c>
      <x:c r="G847" s="30" t="str">
        <x:v>standard</x:v>
      </x:c>
      <x:c r="H847" s="30" t="str">
        <x:v>year-round</x:v>
      </x:c>
      <x:c r="I8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8">
      <x:c r="A848" s="36" t="str">
        <x:v>east_africa</x:v>
      </x:c>
      <x:c r="B848" s="30" t="str">
        <x:v>east-africa-broad-draft-1</x:v>
      </x:c>
      <x:c r="C848" s="30" t="n">
        <x:v>74414</x:v>
      </x:c>
      <x:c r="D848" s="32" t="str">
        <x:v>Common Slender Mongoose</x:v>
      </x:c>
      <x:c r="E848" s="32" t="str">
        <x:v>Herpestes sanguineus</x:v>
      </x:c>
      <x:c r="F848" s="30" t="str">
        <x:v>common</x:v>
      </x:c>
      <x:c r="G848" s="30" t="str">
        <x:v>standard</x:v>
      </x:c>
      <x:c r="H848" s="30" t="str">
        <x:v>year-round</x:v>
      </x:c>
      <x:c r="I8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49">
      <x:c r="A849" s="36" t="str">
        <x:v>east_africa</x:v>
      </x:c>
      <x:c r="B849" s="30" t="str">
        <x:v>east-africa-broad-draft-1</x:v>
      </x:c>
      <x:c r="C849" s="30" t="n">
        <x:v>74191</x:v>
      </x:c>
      <x:c r="D849" s="32" t="str">
        <x:v>Tantalus Monkey</x:v>
      </x:c>
      <x:c r="E849" s="32" t="str">
        <x:v>Chlorocebus tantalus</x:v>
      </x:c>
      <x:c r="F849" s="30" t="str">
        <x:v>common</x:v>
      </x:c>
      <x:c r="G849" s="30" t="str">
        <x:v>standard</x:v>
      </x:c>
      <x:c r="H849" s="30" t="str">
        <x:v>year-round</x:v>
      </x:c>
      <x:c r="I8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0">
      <x:c r="A850" s="36" t="str">
        <x:v>east_africa</x:v>
      </x:c>
      <x:c r="B850" s="30" t="str">
        <x:v>east-africa-broad-draft-1</x:v>
      </x:c>
      <x:c r="C850" s="30" t="n">
        <x:v>43092</x:v>
      </x:c>
      <x:c r="D850" s="32" t="str">
        <x:v>Southern Tree Hyrax</x:v>
      </x:c>
      <x:c r="E850" s="32" t="str">
        <x:v>Dendrohyrax arboreus</x:v>
      </x:c>
      <x:c r="F850" s="30" t="str">
        <x:v>common</x:v>
      </x:c>
      <x:c r="G850" s="30" t="str">
        <x:v>standard</x:v>
      </x:c>
      <x:c r="H850" s="30" t="str">
        <x:v>year-round</x:v>
      </x:c>
      <x:c r="I8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1">
      <x:c r="A851" s="36" t="str">
        <x:v>east_africa</x:v>
      </x:c>
      <x:c r="B851" s="30" t="str">
        <x:v>east-africa-broad-draft-1</x:v>
      </x:c>
      <x:c r="C851" s="30" t="n">
        <x:v>42380</x:v>
      </x:c>
      <x:c r="D851" s="32" t="str">
        <x:v>Oribi</x:v>
      </x:c>
      <x:c r="E851" s="32" t="str">
        <x:v>Ourebia ourebi</x:v>
      </x:c>
      <x:c r="F851" s="30" t="str">
        <x:v>common</x:v>
      </x:c>
      <x:c r="G851" s="30" t="str">
        <x:v>standard</x:v>
      </x:c>
      <x:c r="H851" s="30" t="str">
        <x:v>year-round</x:v>
      </x:c>
      <x:c r="I8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2">
      <x:c r="A852" s="36" t="str">
        <x:v>east_africa</x:v>
      </x:c>
      <x:c r="B852" s="30" t="str">
        <x:v>east-africa-broad-draft-1</x:v>
      </x:c>
      <x:c r="C852" s="30" t="n">
        <x:v>1453959</x:v>
      </x:c>
      <x:c r="D852" s="32" t="str">
        <x:v>Southern Giant Pouched Rat</x:v>
      </x:c>
      <x:c r="E852" s="32" t="str">
        <x:v>Cricetomys ansorgei</x:v>
      </x:c>
      <x:c r="F852" s="30" t="str">
        <x:v>common</x:v>
      </x:c>
      <x:c r="G852" s="30" t="str">
        <x:v>standard</x:v>
      </x:c>
      <x:c r="H852" s="30" t="str">
        <x:v>year-round</x:v>
      </x:c>
      <x:c r="I8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3">
      <x:c r="A853" s="36" t="str">
        <x:v>east_africa</x:v>
      </x:c>
      <x:c r="B853" s="30" t="str">
        <x:v>east-africa-broad-draft-1</x:v>
      </x:c>
      <x:c r="C853" s="30" t="n">
        <x:v>42384</x:v>
      </x:c>
      <x:c r="D853" s="32" t="str">
        <x:v>Klipspringer</x:v>
      </x:c>
      <x:c r="E853" s="32" t="str">
        <x:v>Oreotragus oreotragus</x:v>
      </x:c>
      <x:c r="F853" s="30" t="str">
        <x:v>common</x:v>
      </x:c>
      <x:c r="G853" s="30" t="str">
        <x:v>standard</x:v>
      </x:c>
      <x:c r="H853" s="30" t="str">
        <x:v>year-round</x:v>
      </x:c>
      <x:c r="I8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4">
      <x:c r="A854" s="36" t="str">
        <x:v>east_africa</x:v>
      </x:c>
      <x:c r="B854" s="30" t="str">
        <x:v>east-africa-broad-draft-1</x:v>
      </x:c>
      <x:c r="C854" s="30" t="n">
        <x:v>74724</x:v>
      </x:c>
      <x:c r="D854" s="32" t="str">
        <x:v>Grant's Gazelle</x:v>
      </x:c>
      <x:c r="E854" s="32" t="str">
        <x:v>Nanger granti</x:v>
      </x:c>
      <x:c r="F854" s="30" t="str">
        <x:v>common</x:v>
      </x:c>
      <x:c r="G854" s="30" t="str">
        <x:v>standard</x:v>
      </x:c>
      <x:c r="H854" s="30" t="str">
        <x:v>year-round</x:v>
      </x:c>
      <x:c r="I8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5">
      <x:c r="A855" s="36" t="str">
        <x:v>east_africa</x:v>
      </x:c>
      <x:c r="B855" s="30" t="str">
        <x:v>east-africa-broad-draft-1</x:v>
      </x:c>
      <x:c r="C855" s="30" t="n">
        <x:v>44171</x:v>
      </x:c>
      <x:c r="D855" s="32" t="str">
        <x:v>Crested Porcupine</x:v>
      </x:c>
      <x:c r="E855" s="32" t="str">
        <x:v>Hystrix cristata</x:v>
      </x:c>
      <x:c r="F855" s="30" t="str">
        <x:v>common</x:v>
      </x:c>
      <x:c r="G855" s="30" t="str">
        <x:v>standard</x:v>
      </x:c>
      <x:c r="H855" s="30" t="str">
        <x:v>year-round</x:v>
      </x:c>
      <x:c r="I8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6">
      <x:c r="A856" s="36" t="str">
        <x:v>east_africa</x:v>
      </x:c>
      <x:c r="B856" s="30" t="str">
        <x:v>east-africa-broad-draft-1</x:v>
      </x:c>
      <x:c r="C856" s="30" t="n">
        <x:v>1596257</x:v>
      </x:c>
      <x:c r="D856" s="32" t="str">
        <x:v>Ugandan grey-cheeked mangabey</x:v>
      </x:c>
      <x:c r="E856" s="32" t="str">
        <x:v>Lophocebus ugandae</x:v>
      </x:c>
      <x:c r="F856" s="30" t="str">
        <x:v>common</x:v>
      </x:c>
      <x:c r="G856" s="30" t="str">
        <x:v>standard</x:v>
      </x:c>
      <x:c r="H856" s="30" t="str">
        <x:v>year-round</x:v>
      </x:c>
      <x:c r="I8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7">
      <x:c r="A857" s="36" t="str">
        <x:v>east_africa</x:v>
      </x:c>
      <x:c r="B857" s="30" t="str">
        <x:v>east-africa-broad-draft-1</x:v>
      </x:c>
      <x:c r="C857" s="30" t="n">
        <x:v>41939</x:v>
      </x:c>
      <x:c r="D857" s="32" t="str">
        <x:v>White-tailed Mongoose</x:v>
      </x:c>
      <x:c r="E857" s="32" t="str">
        <x:v>Ichneumia albicauda</x:v>
      </x:c>
      <x:c r="F857" s="30" t="str">
        <x:v>common</x:v>
      </x:c>
      <x:c r="G857" s="30" t="str">
        <x:v>standard</x:v>
      </x:c>
      <x:c r="H857" s="30" t="str">
        <x:v>year-round</x:v>
      </x:c>
      <x:c r="I8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8">
      <x:c r="A858" s="36" t="str">
        <x:v>east_africa</x:v>
      </x:c>
      <x:c r="B858" s="30" t="str">
        <x:v>east-africa-broad-draft-1</x:v>
      </x:c>
      <x:c r="C858" s="30" t="n">
        <x:v>42418</x:v>
      </x:c>
      <x:c r="D858" s="32" t="str">
        <x:v>Hartebeest</x:v>
      </x:c>
      <x:c r="E858" s="32" t="str">
        <x:v>Alcelaphus buselaphus</x:v>
      </x:c>
      <x:c r="F858" s="30" t="str">
        <x:v>common</x:v>
      </x:c>
      <x:c r="G858" s="30" t="str">
        <x:v>standard</x:v>
      </x:c>
      <x:c r="H858" s="30" t="str">
        <x:v>year-round</x:v>
      </x:c>
      <x:c r="I8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59">
      <x:c r="A859" s="36" t="str">
        <x:v>east_africa</x:v>
      </x:c>
      <x:c r="B859" s="30" t="str">
        <x:v>east-africa-broad-draft-1</x:v>
      </x:c>
      <x:c r="C859" s="30" t="n">
        <x:v>42120</x:v>
      </x:c>
      <x:c r="D859" s="32" t="str">
        <x:v>Giant Forest Hog</x:v>
      </x:c>
      <x:c r="E859" s="32" t="str">
        <x:v>Hylochoerus meinertzhageni</x:v>
      </x:c>
      <x:c r="F859" s="30" t="str">
        <x:v>common</x:v>
      </x:c>
      <x:c r="G859" s="30" t="str">
        <x:v>standard</x:v>
      </x:c>
      <x:c r="H859" s="30" t="str">
        <x:v>year-round</x:v>
      </x:c>
      <x:c r="I8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0">
      <x:c r="A860" s="36" t="str">
        <x:v>east_africa</x:v>
      </x:c>
      <x:c r="B860" s="30" t="str">
        <x:v>east-africa-broad-draft-1</x:v>
      </x:c>
      <x:c r="C860" s="30" t="n">
        <x:v>43055</x:v>
      </x:c>
      <x:c r="D860" s="32" t="str">
        <x:v>Four-toed Hedgehog</x:v>
      </x:c>
      <x:c r="E860" s="32" t="str">
        <x:v>Atelerix albiventris</x:v>
      </x:c>
      <x:c r="F860" s="30" t="str">
        <x:v>common</x:v>
      </x:c>
      <x:c r="G860" s="30" t="str">
        <x:v>standard</x:v>
      </x:c>
      <x:c r="H860" s="30" t="str">
        <x:v>year-round</x:v>
      </x:c>
      <x:c r="I8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1">
      <x:c r="A861" s="36" t="str">
        <x:v>east_africa</x:v>
      </x:c>
      <x:c r="B861" s="30" t="str">
        <x:v>east-africa-broad-draft-1</x:v>
      </x:c>
      <x:c r="C861" s="30" t="n">
        <x:v>42343</x:v>
      </x:c>
      <x:c r="D861" s="32" t="str">
        <x:v>Mountain Nyala</x:v>
      </x:c>
      <x:c r="E861" s="32" t="str">
        <x:v>Tragelaphus buxtoni</x:v>
      </x:c>
      <x:c r="F861" s="30" t="str">
        <x:v>common</x:v>
      </x:c>
      <x:c r="G861" s="30" t="str">
        <x:v>standard</x:v>
      </x:c>
      <x:c r="H861" s="30" t="str">
        <x:v>year-round</x:v>
      </x:c>
      <x:c r="I8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2">
      <x:c r="A862" s="36" t="str">
        <x:v>east_africa</x:v>
      </x:c>
      <x:c r="B862" s="30" t="str">
        <x:v>east-africa-broad-draft-1</x:v>
      </x:c>
      <x:c r="C862" s="30" t="n">
        <x:v>41955</x:v>
      </x:c>
      <x:c r="D862" s="32" t="str">
        <x:v>Cheetah</x:v>
      </x:c>
      <x:c r="E862" s="32" t="str">
        <x:v>Acinonyx jubatus</x:v>
      </x:c>
      <x:c r="F862" s="30" t="str">
        <x:v>common</x:v>
      </x:c>
      <x:c r="G862" s="30" t="str">
        <x:v>legendary</x:v>
      </x:c>
      <x:c r="H862" s="30" t="str">
        <x:v>year-round</x:v>
      </x:c>
      <x:c r="I862" s="37" t="str">
        <x:v>Owner-managed east_africa icon checklist; imported from east_africa_checklists.csv. Encounter rarity and prestige are curated game metadata. Automated rarity: inaturalist-regional-frequency-v1.</x:v>
      </x:c>
    </x:row>
    <x:row r="863">
      <x:c r="A863" s="36" t="str">
        <x:v>east_africa</x:v>
      </x:c>
      <x:c r="B863" s="30" t="str">
        <x:v>east-africa-broad-draft-1</x:v>
      </x:c>
      <x:c r="C863" s="30" t="n">
        <x:v>46196</x:v>
      </x:c>
      <x:c r="D863" s="32" t="str">
        <x:v>Red-legged Sun Squirrel</x:v>
      </x:c>
      <x:c r="E863" s="32" t="str">
        <x:v>Heliosciurus rufobrachium</x:v>
      </x:c>
      <x:c r="F863" s="30" t="str">
        <x:v>common</x:v>
      </x:c>
      <x:c r="G863" s="30" t="str">
        <x:v>standard</x:v>
      </x:c>
      <x:c r="H863" s="30" t="str">
        <x:v>year-round</x:v>
      </x:c>
      <x:c r="I8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4">
      <x:c r="A864" s="36" t="str">
        <x:v>east_africa</x:v>
      </x:c>
      <x:c r="B864" s="30" t="str">
        <x:v>east-africa-broad-draft-1</x:v>
      </x:c>
      <x:c r="C864" s="30" t="n">
        <x:v>41627</x:v>
      </x:c>
      <x:c r="D864" s="32" t="str">
        <x:v>African Civet</x:v>
      </x:c>
      <x:c r="E864" s="32" t="str">
        <x:v>Civettictis civetta</x:v>
      </x:c>
      <x:c r="F864" s="30" t="str">
        <x:v>common</x:v>
      </x:c>
      <x:c r="G864" s="30" t="str">
        <x:v>standard</x:v>
      </x:c>
      <x:c r="H864" s="30" t="str">
        <x:v>year-round</x:v>
      </x:c>
      <x:c r="I8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5">
      <x:c r="A865" s="36" t="str">
        <x:v>east_africa</x:v>
      </x:c>
      <x:c r="B865" s="30" t="str">
        <x:v>east-africa-broad-draft-1</x:v>
      </x:c>
      <x:c r="C865" s="30" t="n">
        <x:v>118552</x:v>
      </x:c>
      <x:c r="D865" s="32" t="str">
        <x:v>Domestic Cat</x:v>
      </x:c>
      <x:c r="E865" s="32" t="str">
        <x:v>Felis catus</x:v>
      </x:c>
      <x:c r="F865" s="30" t="str">
        <x:v>common</x:v>
      </x:c>
      <x:c r="G865" s="30" t="str">
        <x:v>standard</x:v>
      </x:c>
      <x:c r="H865" s="30" t="str">
        <x:v>year-round</x:v>
      </x:c>
      <x:c r="I8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6">
      <x:c r="A866" s="36" t="str">
        <x:v>east_africa</x:v>
      </x:c>
      <x:c r="B866" s="30" t="str">
        <x:v>east-africa-broad-draft-1</x:v>
      </x:c>
      <x:c r="C866" s="30" t="n">
        <x:v>925661</x:v>
      </x:c>
      <x:c r="D866" s="32" t="str">
        <x:v>Northern Small-spotted Genet</x:v>
      </x:c>
      <x:c r="E866" s="32" t="str">
        <x:v>Genetta genetta</x:v>
      </x:c>
      <x:c r="F866" s="30" t="str">
        <x:v>common</x:v>
      </x:c>
      <x:c r="G866" s="30" t="str">
        <x:v>standard</x:v>
      </x:c>
      <x:c r="H866" s="30" t="str">
        <x:v>year-round</x:v>
      </x:c>
      <x:c r="I8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7">
      <x:c r="A867" s="36" t="str">
        <x:v>east_africa</x:v>
      </x:c>
      <x:c r="B867" s="30" t="str">
        <x:v>east-africa-broad-draft-1</x:v>
      </x:c>
      <x:c r="C867" s="30" t="n">
        <x:v>46191</x:v>
      </x:c>
      <x:c r="D867" s="32" t="str">
        <x:v>Zanj Sun Squirrel</x:v>
      </x:c>
      <x:c r="E867" s="32" t="str">
        <x:v>Heliosciurus undulatus</x:v>
      </x:c>
      <x:c r="F867" s="30" t="str">
        <x:v>common</x:v>
      </x:c>
      <x:c r="G867" s="30" t="str">
        <x:v>standard</x:v>
      </x:c>
      <x:c r="H867" s="30" t="str">
        <x:v>year-round</x:v>
      </x:c>
      <x:c r="I8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8">
      <x:c r="A868" s="36" t="str">
        <x:v>east_africa</x:v>
      </x:c>
      <x:c r="B868" s="30" t="str">
        <x:v>east-africa-broad-draft-1</x:v>
      </x:c>
      <x:c r="C868" s="30" t="n">
        <x:v>46113</x:v>
      </x:c>
      <x:c r="D868" s="32" t="str">
        <x:v>Red Bush Squirrel</x:v>
      </x:c>
      <x:c r="E868" s="32" t="str">
        <x:v>Paraxerus palliatus</x:v>
      </x:c>
      <x:c r="F868" s="30" t="str">
        <x:v>common</x:v>
      </x:c>
      <x:c r="G868" s="30" t="str">
        <x:v>standard</x:v>
      </x:c>
      <x:c r="H868" s="30" t="str">
        <x:v>year-round</x:v>
      </x:c>
      <x:c r="I8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69">
      <x:c r="A869" s="36" t="str">
        <x:v>east_africa</x:v>
      </x:c>
      <x:c r="B869" s="30" t="str">
        <x:v>east-africa-broad-draft-1</x:v>
      </x:c>
      <x:c r="C869" s="30" t="n">
        <x:v>42045</x:v>
      </x:c>
      <x:c r="D869" s="32" t="str">
        <x:v>Ethiopian Wolf</x:v>
      </x:c>
      <x:c r="E869" s="32" t="str">
        <x:v>Canis simensis</x:v>
      </x:c>
      <x:c r="F869" s="30" t="str">
        <x:v>common</x:v>
      </x:c>
      <x:c r="G869" s="30" t="str">
        <x:v>standard</x:v>
      </x:c>
      <x:c r="H869" s="30" t="str">
        <x:v>year-round</x:v>
      </x:c>
      <x:c r="I8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0">
      <x:c r="A870" s="36" t="str">
        <x:v>east_africa</x:v>
      </x:c>
      <x:c r="B870" s="30" t="str">
        <x:v>east-africa-broad-draft-1</x:v>
      </x:c>
      <x:c r="C870" s="30" t="n">
        <x:v>871611</x:v>
      </x:c>
      <x:c r="D870" s="32" t="str">
        <x:v>Striped Ground Squirrel</x:v>
      </x:c>
      <x:c r="E870" s="32" t="str">
        <x:v>Euxerus erythropus</x:v>
      </x:c>
      <x:c r="F870" s="30" t="str">
        <x:v>common</x:v>
      </x:c>
      <x:c r="G870" s="30" t="str">
        <x:v>standard</x:v>
      </x:c>
      <x:c r="H870" s="30" t="str">
        <x:v>year-round</x:v>
      </x:c>
      <x:c r="I8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1">
      <x:c r="A871" s="36" t="str">
        <x:v>east_africa</x:v>
      </x:c>
      <x:c r="B871" s="30" t="str">
        <x:v>east-africa-broad-draft-1</x:v>
      </x:c>
      <x:c r="C871" s="30" t="n">
        <x:v>1210965</x:v>
      </x:c>
      <x:c r="D871" s="32" t="str">
        <x:v>Side-striped Jackal</x:v>
      </x:c>
      <x:c r="E871" s="32" t="str">
        <x:v>Lupulella adusta</x:v>
      </x:c>
      <x:c r="F871" s="30" t="str">
        <x:v>common</x:v>
      </x:c>
      <x:c r="G871" s="30" t="str">
        <x:v>standard</x:v>
      </x:c>
      <x:c r="H871" s="30" t="str">
        <x:v>year-round</x:v>
      </x:c>
      <x:c r="I8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2">
      <x:c r="A872" s="36" t="str">
        <x:v>east_africa</x:v>
      </x:c>
      <x:c r="B872" s="30" t="str">
        <x:v>east-africa-broad-draft-1</x:v>
      </x:c>
      <x:c r="C872" s="30" t="n">
        <x:v>42424</x:v>
      </x:c>
      <x:c r="D872" s="32" t="str">
        <x:v>Bush Duiker</x:v>
      </x:c>
      <x:c r="E872" s="32" t="str">
        <x:v>Sylvicapra grimmia</x:v>
      </x:c>
      <x:c r="F872" s="30" t="str">
        <x:v>common</x:v>
      </x:c>
      <x:c r="G872" s="30" t="str">
        <x:v>standard</x:v>
      </x:c>
      <x:c r="H872" s="30" t="str">
        <x:v>year-round</x:v>
      </x:c>
      <x:c r="I8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3">
      <x:c r="A873" s="36" t="str">
        <x:v>east_africa</x:v>
      </x:c>
      <x:c r="B873" s="30" t="str">
        <x:v>east-africa-broad-draft-1</x:v>
      </x:c>
      <x:c r="C873" s="30" t="n">
        <x:v>81542</x:v>
      </x:c>
      <x:c r="D873" s="32" t="str">
        <x:v>Dromedary Camel</x:v>
      </x:c>
      <x:c r="E873" s="32" t="str">
        <x:v>Camelus dromedarius</x:v>
      </x:c>
      <x:c r="F873" s="30" t="str">
        <x:v>common</x:v>
      </x:c>
      <x:c r="G873" s="30" t="str">
        <x:v>standard</x:v>
      </x:c>
      <x:c r="H873" s="30" t="str">
        <x:v>year-round</x:v>
      </x:c>
      <x:c r="I8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4">
      <x:c r="A874" s="36" t="str">
        <x:v>east_africa</x:v>
      </x:c>
      <x:c r="B874" s="30" t="str">
        <x:v>east-africa-broad-draft-1</x:v>
      </x:c>
      <x:c r="C874" s="30" t="n">
        <x:v>46114</x:v>
      </x:c>
      <x:c r="D874" s="32" t="str">
        <x:v>Boehm's Bush Squirrel</x:v>
      </x:c>
      <x:c r="E874" s="32" t="str">
        <x:v>Paraxerus boehmi</x:v>
      </x:c>
      <x:c r="F874" s="30" t="str">
        <x:v>common</x:v>
      </x:c>
      <x:c r="G874" s="30" t="str">
        <x:v>standard</x:v>
      </x:c>
      <x:c r="H874" s="30" t="str">
        <x:v>year-round</x:v>
      </x:c>
      <x:c r="I8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5">
      <x:c r="A875" s="36" t="str">
        <x:v>east_africa</x:v>
      </x:c>
      <x:c r="B875" s="30" t="str">
        <x:v>east-africa-broad-draft-1</x:v>
      </x:c>
      <x:c r="C875" s="30" t="n">
        <x:v>42359</x:v>
      </x:c>
      <x:c r="D875" s="32" t="str">
        <x:v>Günther's Dik-dik</x:v>
      </x:c>
      <x:c r="E875" s="32" t="str">
        <x:v>Madoqua guentheri</x:v>
      </x:c>
      <x:c r="F875" s="30" t="str">
        <x:v>common</x:v>
      </x:c>
      <x:c r="G875" s="30" t="str">
        <x:v>standard</x:v>
      </x:c>
      <x:c r="H875" s="30" t="str">
        <x:v>year-round</x:v>
      </x:c>
      <x:c r="I8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6">
      <x:c r="A876" s="36" t="str">
        <x:v>east_africa</x:v>
      </x:c>
      <x:c r="B876" s="30" t="str">
        <x:v>east-africa-broad-draft-1</x:v>
      </x:c>
      <x:c r="C876" s="30" t="n">
        <x:v>43568</x:v>
      </x:c>
      <x:c r="D876" s="32" t="str">
        <x:v>Small-eared Greater Galago</x:v>
      </x:c>
      <x:c r="E876" s="32" t="str">
        <x:v>Otolemur garnettii</x:v>
      </x:c>
      <x:c r="F876" s="30" t="str">
        <x:v>common</x:v>
      </x:c>
      <x:c r="G876" s="30" t="str">
        <x:v>standard</x:v>
      </x:c>
      <x:c r="H876" s="30" t="str">
        <x:v>year-round</x:v>
      </x:c>
      <x:c r="I8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7">
      <x:c r="A877" s="36" t="str">
        <x:v>east_africa</x:v>
      </x:c>
      <x:c r="B877" s="30" t="str">
        <x:v>east-africa-broad-draft-1</x:v>
      </x:c>
      <x:c r="C877" s="30" t="n">
        <x:v>75192</x:v>
      </x:c>
      <x:c r="D877" s="32" t="str">
        <x:v>Common Eland</x:v>
      </x:c>
      <x:c r="E877" s="32" t="str">
        <x:v>Tragelaphus oryx</x:v>
      </x:c>
      <x:c r="F877" s="30" t="str">
        <x:v>common</x:v>
      </x:c>
      <x:c r="G877" s="30" t="str">
        <x:v>standard</x:v>
      </x:c>
      <x:c r="H877" s="30" t="str">
        <x:v>year-round</x:v>
      </x:c>
      <x:c r="I8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8">
      <x:c r="A878" s="36" t="str">
        <x:v>east_africa</x:v>
      </x:c>
      <x:c r="B878" s="30" t="str">
        <x:v>east-africa-broad-draft-1</x:v>
      </x:c>
      <x:c r="C878" s="30" t="n">
        <x:v>41481</x:v>
      </x:c>
      <x:c r="D878" s="32" t="str">
        <x:v>Indo-Pacific Bottlenose Dolphin</x:v>
      </x:c>
      <x:c r="E878" s="32" t="str">
        <x:v>Tursiops aduncus</x:v>
      </x:c>
      <x:c r="F878" s="30" t="str">
        <x:v>common</x:v>
      </x:c>
      <x:c r="G878" s="30" t="str">
        <x:v>standard</x:v>
      </x:c>
      <x:c r="H878" s="30" t="str">
        <x:v>year-round</x:v>
      </x:c>
      <x:c r="I8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79">
      <x:c r="A879" s="36" t="str">
        <x:v>east_africa</x:v>
      </x:c>
      <x:c r="B879" s="30" t="str">
        <x:v>east-africa-broad-draft-1</x:v>
      </x:c>
      <x:c r="C879" s="30" t="n">
        <x:v>42157</x:v>
      </x:c>
      <x:c r="D879" s="32" t="str">
        <x:v>Northern Giraffe</x:v>
      </x:c>
      <x:c r="E879" s="32" t="str">
        <x:v>Giraffa camelopardalis</x:v>
      </x:c>
      <x:c r="F879" s="30" t="str">
        <x:v>common</x:v>
      </x:c>
      <x:c r="G879" s="30" t="str">
        <x:v>standard</x:v>
      </x:c>
      <x:c r="H879" s="30" t="str">
        <x:v>year-round</x:v>
      </x:c>
      <x:c r="I8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0">
      <x:c r="A880" s="36" t="str">
        <x:v>east_africa</x:v>
      </x:c>
      <x:c r="B880" s="30" t="str">
        <x:v>east-africa-broad-draft-1</x:v>
      </x:c>
      <x:c r="C880" s="30" t="n">
        <x:v>43350</x:v>
      </x:c>
      <x:c r="D880" s="32" t="str">
        <x:v>Black Rhinoceros</x:v>
      </x:c>
      <x:c r="E880" s="32" t="str">
        <x:v>Diceros bicornis</x:v>
      </x:c>
      <x:c r="F880" s="30" t="str">
        <x:v>common</x:v>
      </x:c>
      <x:c r="G880" s="30" t="str">
        <x:v>legendary</x:v>
      </x:c>
      <x:c r="H880" s="30" t="str">
        <x:v>year-round</x:v>
      </x:c>
      <x:c r="I880" s="37" t="str">
        <x:v>Owner-managed east_africa icon checklist; imported from east_africa_checklists.csv. Encounter rarity and prestige are curated game metadata. Automated rarity: inaturalist-regional-frequency-v1.</x:v>
      </x:c>
    </x:row>
    <x:row r="881">
      <x:c r="A881" s="36" t="str">
        <x:v>east_africa</x:v>
      </x:c>
      <x:c r="B881" s="30" t="str">
        <x:v>east-africa-broad-draft-1</x:v>
      </x:c>
      <x:c r="C881" s="30" t="n">
        <x:v>42025</x:v>
      </x:c>
      <x:c r="D881" s="32" t="str">
        <x:v>Serval</x:v>
      </x:c>
      <x:c r="E881" s="32" t="str">
        <x:v>Leptailurus serval</x:v>
      </x:c>
      <x:c r="F881" s="30" t="str">
        <x:v>common</x:v>
      </x:c>
      <x:c r="G881" s="30" t="str">
        <x:v>standard</x:v>
      </x:c>
      <x:c r="H881" s="30" t="str">
        <x:v>year-round</x:v>
      </x:c>
      <x:c r="I8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2">
      <x:c r="A882" s="36" t="str">
        <x:v>east_africa</x:v>
      </x:c>
      <x:c r="B882" s="30" t="str">
        <x:v>east-africa-broad-draft-1</x:v>
      </x:c>
      <x:c r="C882" s="30" t="n">
        <x:v>74725</x:v>
      </x:c>
      <x:c r="D882" s="32" t="str">
        <x:v>Sömmerring's Gazelle</x:v>
      </x:c>
      <x:c r="E882" s="32" t="str">
        <x:v>Nanger soemmerringii</x:v>
      </x:c>
      <x:c r="F882" s="30" t="str">
        <x:v>common</x:v>
      </x:c>
      <x:c r="G882" s="30" t="str">
        <x:v>standard</x:v>
      </x:c>
      <x:c r="H882" s="30" t="str">
        <x:v>year-round</x:v>
      </x:c>
      <x:c r="I8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3">
      <x:c r="A883" s="36" t="str">
        <x:v>east_africa</x:v>
      </x:c>
      <x:c r="B883" s="30" t="str">
        <x:v>east-africa-broad-draft-1</x:v>
      </x:c>
      <x:c r="C883" s="30" t="n">
        <x:v>47144</x:v>
      </x:c>
      <x:c r="D883" s="32" t="str">
        <x:v>Domestic Dog</x:v>
      </x:c>
      <x:c r="E883" s="32" t="str">
        <x:v>Canis familiaris</x:v>
      </x:c>
      <x:c r="F883" s="30" t="str">
        <x:v>common</x:v>
      </x:c>
      <x:c r="G883" s="30" t="str">
        <x:v>standard</x:v>
      </x:c>
      <x:c r="H883" s="30" t="str">
        <x:v>year-round</x:v>
      </x:c>
      <x:c r="I8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4">
      <x:c r="A884" s="36" t="str">
        <x:v>east_africa</x:v>
      </x:c>
      <x:c r="B884" s="30" t="str">
        <x:v>east-africa-broad-draft-1</x:v>
      </x:c>
      <x:c r="C884" s="30" t="n">
        <x:v>1431004</x:v>
      </x:c>
      <x:c r="D884" s="32" t="str">
        <x:v>Kivu Duiker</x:v>
      </x:c>
      <x:c r="E884" s="32" t="str">
        <x:v>Cephalophorus kivuensis</x:v>
      </x:c>
      <x:c r="F884" s="30" t="str">
        <x:v>common</x:v>
      </x:c>
      <x:c r="G884" s="30" t="str">
        <x:v>standard</x:v>
      </x:c>
      <x:c r="H884" s="30" t="str">
        <x:v>year-round</x:v>
      </x:c>
      <x:c r="I8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5">
      <x:c r="A885" s="36" t="str">
        <x:v>east_africa</x:v>
      </x:c>
      <x:c r="B885" s="30" t="str">
        <x:v>east-africa-broad-draft-1</x:v>
      </x:c>
      <x:c r="C885" s="30" t="n">
        <x:v>41380</x:v>
      </x:c>
      <x:c r="D885" s="32" t="str">
        <x:v>Mauritian Tomb Bat</x:v>
      </x:c>
      <x:c r="E885" s="32" t="str">
        <x:v>Taphozous mauritianus</x:v>
      </x:c>
      <x:c r="F885" s="30" t="str">
        <x:v>common</x:v>
      </x:c>
      <x:c r="G885" s="30" t="str">
        <x:v>standard</x:v>
      </x:c>
      <x:c r="H885" s="30" t="str">
        <x:v>year-round</x:v>
      </x:c>
      <x:c r="I8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6">
      <x:c r="A886" s="36" t="str">
        <x:v>east_africa</x:v>
      </x:c>
      <x:c r="B886" s="30" t="str">
        <x:v>east-africa-broad-draft-1</x:v>
      </x:c>
      <x:c r="C886" s="30" t="n">
        <x:v>42095</x:v>
      </x:c>
      <x:c r="D886" s="32" t="str">
        <x:v>Bat-eared Fox</x:v>
      </x:c>
      <x:c r="E886" s="32" t="str">
        <x:v>Otocyon megalotis</x:v>
      </x:c>
      <x:c r="F886" s="30" t="str">
        <x:v>common</x:v>
      </x:c>
      <x:c r="G886" s="30" t="str">
        <x:v>standard</x:v>
      </x:c>
      <x:c r="H886" s="30" t="str">
        <x:v>year-round</x:v>
      </x:c>
      <x:c r="I8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7">
      <x:c r="A887" s="36" t="str">
        <x:v>east_africa</x:v>
      </x:c>
      <x:c r="B887" s="30" t="str">
        <x:v>east-africa-broad-draft-1</x:v>
      </x:c>
      <x:c r="C887" s="30" t="n">
        <x:v>41324</x:v>
      </x:c>
      <x:c r="D887" s="32" t="str">
        <x:v>Heart-nosed bat</x:v>
      </x:c>
      <x:c r="E887" s="32" t="str">
        <x:v>Cardioderma cor</x:v>
      </x:c>
      <x:c r="F887" s="30" t="str">
        <x:v>common</x:v>
      </x:c>
      <x:c r="G887" s="30" t="str">
        <x:v>standard</x:v>
      </x:c>
      <x:c r="H887" s="30" t="str">
        <x:v>year-round</x:v>
      </x:c>
      <x:c r="I8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8">
      <x:c r="A888" s="36" t="str">
        <x:v>east_africa</x:v>
      </x:c>
      <x:c r="B888" s="30" t="str">
        <x:v>east-africa-broad-draft-1</x:v>
      </x:c>
      <x:c r="C888" s="30" t="n">
        <x:v>42138</x:v>
      </x:c>
      <x:c r="D888" s="32" t="str">
        <x:v>Bushpig</x:v>
      </x:c>
      <x:c r="E888" s="32" t="str">
        <x:v>Potamochoerus larvatus</x:v>
      </x:c>
      <x:c r="F888" s="30" t="str">
        <x:v>common</x:v>
      </x:c>
      <x:c r="G888" s="30" t="str">
        <x:v>standard</x:v>
      </x:c>
      <x:c r="H888" s="30" t="str">
        <x:v>year-round</x:v>
      </x:c>
      <x:c r="I8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89">
      <x:c r="A889" s="36" t="str">
        <x:v>east_africa</x:v>
      </x:c>
      <x:c r="B889" s="30" t="str">
        <x:v>east-africa-broad-draft-1</x:v>
      </x:c>
      <x:c r="C889" s="30" t="n">
        <x:v>57560</x:v>
      </x:c>
      <x:c r="D889" s="32" t="str">
        <x:v>Cape Hare</x:v>
      </x:c>
      <x:c r="E889" s="32" t="str">
        <x:v>Lepus capensis</x:v>
      </x:c>
      <x:c r="F889" s="30" t="str">
        <x:v>common</x:v>
      </x:c>
      <x:c r="G889" s="30" t="str">
        <x:v>standard</x:v>
      </x:c>
      <x:c r="H889" s="30" t="str">
        <x:v>year-round</x:v>
      </x:c>
      <x:c r="I8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0">
      <x:c r="A890" s="36" t="str">
        <x:v>east_africa</x:v>
      </x:c>
      <x:c r="B890" s="30" t="str">
        <x:v>east-africa-broad-draft-1</x:v>
      </x:c>
      <x:c r="C890" s="30" t="n">
        <x:v>43535</x:v>
      </x:c>
      <x:c r="D890" s="32" t="str">
        <x:v>Hamadryas Baboon</x:v>
      </x:c>
      <x:c r="E890" s="32" t="str">
        <x:v>Papio hamadryas</x:v>
      </x:c>
      <x:c r="F890" s="30" t="str">
        <x:v>common</x:v>
      </x:c>
      <x:c r="G890" s="30" t="str">
        <x:v>standard</x:v>
      </x:c>
      <x:c r="H890" s="30" t="str">
        <x:v>year-round</x:v>
      </x:c>
      <x:c r="I8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1">
      <x:c r="A891" s="36" t="str">
        <x:v>east_africa</x:v>
      </x:c>
      <x:c r="B891" s="30" t="str">
        <x:v>east-africa-broad-draft-1</x:v>
      </x:c>
      <x:c r="C891" s="30" t="n">
        <x:v>417389</x:v>
      </x:c>
      <x:c r="D891" s="32" t="str">
        <x:v>Spotted-necked Otter</x:v>
      </x:c>
      <x:c r="E891" s="32" t="str">
        <x:v>Hydrictis maculicollis</x:v>
      </x:c>
      <x:c r="F891" s="30" t="str">
        <x:v>common</x:v>
      </x:c>
      <x:c r="G891" s="30" t="str">
        <x:v>standard</x:v>
      </x:c>
      <x:c r="H891" s="30" t="str">
        <x:v>year-round</x:v>
      </x:c>
      <x:c r="I8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2">
      <x:c r="A892" s="36" t="str">
        <x:v>east_africa</x:v>
      </x:c>
      <x:c r="B892" s="30" t="str">
        <x:v>east-africa-broad-draft-1</x:v>
      </x:c>
      <x:c r="C892" s="30" t="n">
        <x:v>41907</x:v>
      </x:c>
      <x:c r="D892" s="32" t="str">
        <x:v>Somali Dwarf Mongoose</x:v>
      </x:c>
      <x:c r="E892" s="32" t="str">
        <x:v>Helogale hirtula</x:v>
      </x:c>
      <x:c r="F892" s="30" t="str">
        <x:v>common</x:v>
      </x:c>
      <x:c r="G892" s="30" t="str">
        <x:v>standard</x:v>
      </x:c>
      <x:c r="H892" s="30" t="str">
        <x:v>year-round</x:v>
      </x:c>
      <x:c r="I8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3">
      <x:c r="A893" s="36" t="str">
        <x:v>east_africa</x:v>
      </x:c>
      <x:c r="B893" s="30" t="str">
        <x:v>east-africa-broad-draft-1</x:v>
      </x:c>
      <x:c r="C893" s="30" t="n">
        <x:v>42093</x:v>
      </x:c>
      <x:c r="D893" s="32" t="str">
        <x:v>African Wild Dog</x:v>
      </x:c>
      <x:c r="E893" s="32" t="str">
        <x:v>Lycaon pictus</x:v>
      </x:c>
      <x:c r="F893" s="30" t="str">
        <x:v>common</x:v>
      </x:c>
      <x:c r="G893" s="30" t="str">
        <x:v>standard</x:v>
      </x:c>
      <x:c r="H893" s="30" t="str">
        <x:v>year-round</x:v>
      </x:c>
      <x:c r="I8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4">
      <x:c r="A894" s="36" t="str">
        <x:v>east_africa</x:v>
      </x:c>
      <x:c r="B894" s="30" t="str">
        <x:v>east-africa-broad-draft-1</x:v>
      </x:c>
      <x:c r="C894" s="30" t="n">
        <x:v>41888</x:v>
      </x:c>
      <x:c r="D894" s="32" t="str">
        <x:v>Striped Hyaena</x:v>
      </x:c>
      <x:c r="E894" s="32" t="str">
        <x:v>Hyaena hyaena</x:v>
      </x:c>
      <x:c r="F894" s="30" t="str">
        <x:v>common</x:v>
      </x:c>
      <x:c r="G894" s="30" t="str">
        <x:v>standard</x:v>
      </x:c>
      <x:c r="H894" s="30" t="str">
        <x:v>year-round</x:v>
      </x:c>
      <x:c r="I8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5">
      <x:c r="A895" s="36" t="str">
        <x:v>east_africa</x:v>
      </x:c>
      <x:c r="B895" s="30" t="str">
        <x:v>east-africa-broad-draft-1</x:v>
      </x:c>
      <x:c r="C895" s="30" t="n">
        <x:v>74113</x:v>
      </x:c>
      <x:c r="D895" s="32" t="str">
        <x:v>Domestic Cattle</x:v>
      </x:c>
      <x:c r="E895" s="32" t="str">
        <x:v>Bos taurus</x:v>
      </x:c>
      <x:c r="F895" s="30" t="str">
        <x:v>common</x:v>
      </x:c>
      <x:c r="G895" s="30" t="str">
        <x:v>standard</x:v>
      </x:c>
      <x:c r="H895" s="30" t="str">
        <x:v>year-round</x:v>
      </x:c>
      <x:c r="I8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6">
      <x:c r="A896" s="36" t="str">
        <x:v>east_africa</x:v>
      </x:c>
      <x:c r="B896" s="30" t="str">
        <x:v>east-africa-broad-draft-1</x:v>
      </x:c>
      <x:c r="C896" s="30" t="n">
        <x:v>75042</x:v>
      </x:c>
      <x:c r="D896" s="32" t="str">
        <x:v>Egyptian Rousette</x:v>
      </x:c>
      <x:c r="E896" s="32" t="str">
        <x:v>Rousettus aegyptiacus</x:v>
      </x:c>
      <x:c r="F896" s="30" t="str">
        <x:v>common</x:v>
      </x:c>
      <x:c r="G896" s="30" t="str">
        <x:v>standard</x:v>
      </x:c>
      <x:c r="H896" s="30" t="str">
        <x:v>year-round</x:v>
      </x:c>
      <x:c r="I8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7">
      <x:c r="A897" s="36" t="str">
        <x:v>east_africa</x:v>
      </x:c>
      <x:c r="B897" s="30" t="str">
        <x:v>east-africa-broad-draft-1</x:v>
      </x:c>
      <x:c r="C897" s="30" t="n">
        <x:v>47062</x:v>
      </x:c>
      <x:c r="D897" s="32" t="str">
        <x:v>Aardvark</x:v>
      </x:c>
      <x:c r="E897" s="32" t="str">
        <x:v>Orycteropus afer</x:v>
      </x:c>
      <x:c r="F897" s="30" t="str">
        <x:v>uncommon</x:v>
      </x:c>
      <x:c r="G897" s="30" t="str">
        <x:v>standard</x:v>
      </x:c>
      <x:c r="H897" s="30" t="str">
        <x:v>year-round</x:v>
      </x:c>
      <x:c r="I8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8">
      <x:c r="A898" s="36" t="str">
        <x:v>east_africa</x:v>
      </x:c>
      <x:c r="B898" s="30" t="str">
        <x:v>east-africa-broad-draft-1</x:v>
      </x:c>
      <x:c r="C898" s="30" t="n">
        <x:v>43222</x:v>
      </x:c>
      <x:c r="D898" s="32" t="str">
        <x:v>Golden-rumped Sengi</x:v>
      </x:c>
      <x:c r="E898" s="32" t="str">
        <x:v>Rhynchocyon chrysopygus</x:v>
      </x:c>
      <x:c r="F898" s="30" t="str">
        <x:v>common</x:v>
      </x:c>
      <x:c r="G898" s="30" t="str">
        <x:v>standard</x:v>
      </x:c>
      <x:c r="H898" s="30" t="str">
        <x:v>year-round</x:v>
      </x:c>
      <x:c r="I8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899">
      <x:c r="A899" s="36" t="str">
        <x:v>east_africa</x:v>
      </x:c>
      <x:c r="B899" s="30" t="str">
        <x:v>east-africa-broad-draft-1</x:v>
      </x:c>
      <x:c r="C899" s="30" t="n">
        <x:v>42362</x:v>
      </x:c>
      <x:c r="D899" s="32" t="str">
        <x:v>Salt's Dik-dik</x:v>
      </x:c>
      <x:c r="E899" s="32" t="str">
        <x:v>Madoqua saltiana</x:v>
      </x:c>
      <x:c r="F899" s="30" t="str">
        <x:v>uncommon</x:v>
      </x:c>
      <x:c r="G899" s="30" t="str">
        <x:v>standard</x:v>
      </x:c>
      <x:c r="H899" s="30" t="str">
        <x:v>year-round</x:v>
      </x:c>
      <x:c r="I8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0">
      <x:c r="A900" s="36" t="str">
        <x:v>east_africa</x:v>
      </x:c>
      <x:c r="B900" s="30" t="str">
        <x:v>east-africa-broad-draft-1</x:v>
      </x:c>
      <x:c r="C900" s="30" t="n">
        <x:v>42339</x:v>
      </x:c>
      <x:c r="D900" s="32" t="str">
        <x:v>Greater Kudu</x:v>
      </x:c>
      <x:c r="E900" s="32" t="str">
        <x:v>Tragelaphus strepsiceros</x:v>
      </x:c>
      <x:c r="F900" s="30" t="str">
        <x:v>uncommon</x:v>
      </x:c>
      <x:c r="G900" s="30" t="str">
        <x:v>standard</x:v>
      </x:c>
      <x:c r="H900" s="30" t="str">
        <x:v>year-round</x:v>
      </x:c>
      <x:c r="I9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1">
      <x:c r="A901" s="36" t="str">
        <x:v>east_africa</x:v>
      </x:c>
      <x:c r="B901" s="30" t="str">
        <x:v>east-africa-broad-draft-1</x:v>
      </x:c>
      <x:c r="C901" s="30" t="n">
        <x:v>123070</x:v>
      </x:c>
      <x:c r="D901" s="32" t="str">
        <x:v>Domestic Goat</x:v>
      </x:c>
      <x:c r="E901" s="32" t="str">
        <x:v>Capra hircus</x:v>
      </x:c>
      <x:c r="F901" s="30" t="str">
        <x:v>uncommon</x:v>
      </x:c>
      <x:c r="G901" s="30" t="str">
        <x:v>standard</x:v>
      </x:c>
      <x:c r="H901" s="30" t="str">
        <x:v>year-round</x:v>
      </x:c>
      <x:c r="I9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2">
      <x:c r="A902" s="36" t="str">
        <x:v>east_africa</x:v>
      </x:c>
      <x:c r="B902" s="30" t="str">
        <x:v>east-africa-broad-draft-1</x:v>
      </x:c>
      <x:c r="C902" s="30" t="n">
        <x:v>41919</x:v>
      </x:c>
      <x:c r="D902" s="32" t="str">
        <x:v>Marsh Mongoose</x:v>
      </x:c>
      <x:c r="E902" s="32" t="str">
        <x:v>Atilax paludinosus</x:v>
      </x:c>
      <x:c r="F902" s="30" t="str">
        <x:v>uncommon</x:v>
      </x:c>
      <x:c r="G902" s="30" t="str">
        <x:v>standard</x:v>
      </x:c>
      <x:c r="H902" s="30" t="str">
        <x:v>year-round</x:v>
      </x:c>
      <x:c r="I9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3">
      <x:c r="A903" s="36" t="str">
        <x:v>east_africa</x:v>
      </x:c>
      <x:c r="B903" s="30" t="str">
        <x:v>east-africa-broad-draft-1</x:v>
      </x:c>
      <x:c r="C903" s="30" t="n">
        <x:v>43565</x:v>
      </x:c>
      <x:c r="D903" s="32" t="str">
        <x:v>Northern Lesser Galago</x:v>
      </x:c>
      <x:c r="E903" s="32" t="str">
        <x:v>Galago senegalensis</x:v>
      </x:c>
      <x:c r="F903" s="30" t="str">
        <x:v>uncommon</x:v>
      </x:c>
      <x:c r="G903" s="30" t="str">
        <x:v>standard</x:v>
      </x:c>
      <x:c r="H903" s="30" t="str">
        <x:v>year-round</x:v>
      </x:c>
      <x:c r="I9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4">
      <x:c r="A904" s="36" t="str">
        <x:v>east_africa</x:v>
      </x:c>
      <x:c r="B904" s="30" t="str">
        <x:v>east-africa-broad-draft-1</x:v>
      </x:c>
      <x:c r="C904" s="30" t="n">
        <x:v>41963</x:v>
      </x:c>
      <x:c r="D904" s="32" t="str">
        <x:v>Leopard</x:v>
      </x:c>
      <x:c r="E904" s="32" t="str">
        <x:v>Panthera pardus</x:v>
      </x:c>
      <x:c r="F904" s="30" t="str">
        <x:v>uncommon</x:v>
      </x:c>
      <x:c r="G904" s="30" t="str">
        <x:v>standard</x:v>
      </x:c>
      <x:c r="H904" s="30" t="str">
        <x:v>year-round</x:v>
      </x:c>
      <x:c r="I9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5">
      <x:c r="A905" s="36" t="str">
        <x:v>east_africa</x:v>
      </x:c>
      <x:c r="B905" s="30" t="str">
        <x:v>east-africa-broad-draft-1</x:v>
      </x:c>
      <x:c r="C905" s="30" t="n">
        <x:v>326023</x:v>
      </x:c>
      <x:c r="D905" s="32" t="str">
        <x:v>Udzungwa Red Colobus</x:v>
      </x:c>
      <x:c r="E905" s="32" t="str">
        <x:v>Piliocolobus gordonorum</x:v>
      </x:c>
      <x:c r="F905" s="30" t="str">
        <x:v>uncommon</x:v>
      </x:c>
      <x:c r="G905" s="30" t="str">
        <x:v>standard</x:v>
      </x:c>
      <x:c r="H905" s="30" t="str">
        <x:v>year-round</x:v>
      </x:c>
      <x:c r="I9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6">
      <x:c r="A906" s="36" t="str">
        <x:v>east_africa</x:v>
      </x:c>
      <x:c r="B906" s="30" t="str">
        <x:v>east-africa-broad-draft-1</x:v>
      </x:c>
      <x:c r="C906" s="30" t="n">
        <x:v>43525</x:v>
      </x:c>
      <x:c r="D906" s="32" t="str">
        <x:v>Angola Colobus</x:v>
      </x:c>
      <x:c r="E906" s="32" t="str">
        <x:v>Colobus angolensis</x:v>
      </x:c>
      <x:c r="F906" s="30" t="str">
        <x:v>uncommon</x:v>
      </x:c>
      <x:c r="G906" s="30" t="str">
        <x:v>standard</x:v>
      </x:c>
      <x:c r="H906" s="30" t="str">
        <x:v>year-round</x:v>
      </x:c>
      <x:c r="I9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7">
      <x:c r="A907" s="36" t="str">
        <x:v>east_africa</x:v>
      </x:c>
      <x:c r="B907" s="30" t="str">
        <x:v>east-africa-broad-draft-1</x:v>
      </x:c>
      <x:c r="C907" s="30" t="n">
        <x:v>46195</x:v>
      </x:c>
      <x:c r="D907" s="32" t="str">
        <x:v>Gambian Sun Squirrel</x:v>
      </x:c>
      <x:c r="E907" s="32" t="str">
        <x:v>Heliosciurus gambianus</x:v>
      </x:c>
      <x:c r="F907" s="30" t="str">
        <x:v>uncommon</x:v>
      </x:c>
      <x:c r="G907" s="30" t="str">
        <x:v>standard</x:v>
      </x:c>
      <x:c r="H907" s="30" t="str">
        <x:v>year-round</x:v>
      </x:c>
      <x:c r="I9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8">
      <x:c r="A908" s="36" t="str">
        <x:v>east_africa</x:v>
      </x:c>
      <x:c r="B908" s="30" t="str">
        <x:v>east-africa-broad-draft-1</x:v>
      </x:c>
      <x:c r="C908" s="30" t="n">
        <x:v>148030</x:v>
      </x:c>
      <x:c r="D908" s="32" t="str">
        <x:v>Donkey</x:v>
      </x:c>
      <x:c r="E908" s="32" t="str">
        <x:v>Equus asinus</x:v>
      </x:c>
      <x:c r="F908" s="30" t="str">
        <x:v>uncommon</x:v>
      </x:c>
      <x:c r="G908" s="30" t="str">
        <x:v>standard</x:v>
      </x:c>
      <x:c r="H908" s="30" t="str">
        <x:v>year-round</x:v>
      </x:c>
      <x:c r="I9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09">
      <x:c r="A909" s="36" t="str">
        <x:v>east_africa</x:v>
      </x:c>
      <x:c r="B909" s="30" t="str">
        <x:v>east-africa-broad-draft-1</x:v>
      </x:c>
      <x:c r="C909" s="30" t="n">
        <x:v>183180</x:v>
      </x:c>
      <x:c r="D909" s="32" t="str">
        <x:v>Angolan Soft-furred Fruit Bat</x:v>
      </x:c>
      <x:c r="E909" s="32" t="str">
        <x:v>Myonycteris angolensis</x:v>
      </x:c>
      <x:c r="F909" s="30" t="str">
        <x:v>uncommon</x:v>
      </x:c>
      <x:c r="G909" s="30" t="str">
        <x:v>standard</x:v>
      </x:c>
      <x:c r="H909" s="30" t="str">
        <x:v>year-round</x:v>
      </x:c>
      <x:c r="I9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0">
      <x:c r="A910" s="36" t="str">
        <x:v>east_africa</x:v>
      </x:c>
      <x:c r="B910" s="30" t="str">
        <x:v>east-africa-broad-draft-1</x:v>
      </x:c>
      <x:c r="C910" s="30" t="n">
        <x:v>1453939</x:v>
      </x:c>
      <x:c r="D910" s="32" t="str">
        <x:v>Mesic Four-striped Grass Rat</x:v>
      </x:c>
      <x:c r="E910" s="32" t="str">
        <x:v>Rhabdomys dilectus</x:v>
      </x:c>
      <x:c r="F910" s="30" t="str">
        <x:v>uncommon</x:v>
      </x:c>
      <x:c r="G910" s="30" t="str">
        <x:v>standard</x:v>
      </x:c>
      <x:c r="H910" s="30" t="str">
        <x:v>year-round</x:v>
      </x:c>
      <x:c r="I9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1">
      <x:c r="A911" s="36" t="str">
        <x:v>east_africa</x:v>
      </x:c>
      <x:c r="B911" s="30" t="str">
        <x:v>east-africa-broad-draft-1</x:v>
      </x:c>
      <x:c r="C911" s="30" t="n">
        <x:v>371414</x:v>
      </x:c>
      <x:c r="D911" s="32" t="str">
        <x:v>African Wildcat</x:v>
      </x:c>
      <x:c r="E911" s="32" t="str">
        <x:v>Felis lybica</x:v>
      </x:c>
      <x:c r="F911" s="30" t="str">
        <x:v>uncommon</x:v>
      </x:c>
      <x:c r="G911" s="30" t="str">
        <x:v>standard</x:v>
      </x:c>
      <x:c r="H911" s="30" t="str">
        <x:v>year-round</x:v>
      </x:c>
      <x:c r="I9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2">
      <x:c r="A912" s="36" t="str">
        <x:v>east_africa</x:v>
      </x:c>
      <x:c r="B912" s="30" t="str">
        <x:v>east-africa-broad-draft-1</x:v>
      </x:c>
      <x:c r="C912" s="30" t="n">
        <x:v>41834</x:v>
      </x:c>
      <x:c r="D912" s="32" t="str">
        <x:v>Ratel</x:v>
      </x:c>
      <x:c r="E912" s="32" t="str">
        <x:v>Mellivora capensis</x:v>
      </x:c>
      <x:c r="F912" s="30" t="str">
        <x:v>uncommon</x:v>
      </x:c>
      <x:c r="G912" s="30" t="str">
        <x:v>standard</x:v>
      </x:c>
      <x:c r="H912" s="30" t="str">
        <x:v>year-round</x:v>
      </x:c>
      <x:c r="I9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3">
      <x:c r="A913" s="36" t="str">
        <x:v>east_africa</x:v>
      </x:c>
      <x:c r="B913" s="30" t="str">
        <x:v>east-africa-broad-draft-1</x:v>
      </x:c>
      <x:c r="C913" s="30" t="n">
        <x:v>43530</x:v>
      </x:c>
      <x:c r="D913" s="32" t="str">
        <x:v>Gelada</x:v>
      </x:c>
      <x:c r="E913" s="32" t="str">
        <x:v>Theropithecus gelada</x:v>
      </x:c>
      <x:c r="F913" s="30" t="str">
        <x:v>uncommon</x:v>
      </x:c>
      <x:c r="G913" s="30" t="str">
        <x:v>standard</x:v>
      </x:c>
      <x:c r="H913" s="30" t="str">
        <x:v>year-round</x:v>
      </x:c>
      <x:c r="I9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4">
      <x:c r="A914" s="36" t="str">
        <x:v>east_africa</x:v>
      </x:c>
      <x:c r="B914" s="30" t="str">
        <x:v>east-africa-broad-draft-1</x:v>
      </x:c>
      <x:c r="C914" s="30" t="n">
        <x:v>43567</x:v>
      </x:c>
      <x:c r="D914" s="32" t="str">
        <x:v>Brown Greater Galago</x:v>
      </x:c>
      <x:c r="E914" s="32" t="str">
        <x:v>Otolemur crassicaudatus</x:v>
      </x:c>
      <x:c r="F914" s="30" t="str">
        <x:v>uncommon</x:v>
      </x:c>
      <x:c r="G914" s="30" t="str">
        <x:v>standard</x:v>
      </x:c>
      <x:c r="H914" s="30" t="str">
        <x:v>year-round</x:v>
      </x:c>
      <x:c r="I9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5">
      <x:c r="A915" s="36" t="str">
        <x:v>east_africa</x:v>
      </x:c>
      <x:c r="B915" s="30" t="str">
        <x:v>east-africa-broad-draft-1</x:v>
      </x:c>
      <x:c r="C915" s="30" t="n">
        <x:v>45669</x:v>
      </x:c>
      <x:c r="D915" s="32" t="str">
        <x:v>Blick's Grass Rat</x:v>
      </x:c>
      <x:c r="E915" s="32" t="str">
        <x:v>Arvicanthis blicki</x:v>
      </x:c>
      <x:c r="F915" s="30" t="str">
        <x:v>uncommon</x:v>
      </x:c>
      <x:c r="G915" s="30" t="str">
        <x:v>standard</x:v>
      </x:c>
      <x:c r="H915" s="30" t="str">
        <x:v>year-round</x:v>
      </x:c>
      <x:c r="I9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6">
      <x:c r="A916" s="36" t="str">
        <x:v>east_africa</x:v>
      </x:c>
      <x:c r="B916" s="30" t="str">
        <x:v>east-africa-broad-draft-1</x:v>
      </x:c>
      <x:c r="C916" s="30" t="n">
        <x:v>45496</x:v>
      </x:c>
      <x:c r="D916" s="32" t="str">
        <x:v>Typical Striped Grass Mouse</x:v>
      </x:c>
      <x:c r="E916" s="32" t="str">
        <x:v>Lemniscomys striatus</x:v>
      </x:c>
      <x:c r="F916" s="30" t="str">
        <x:v>uncommon</x:v>
      </x:c>
      <x:c r="G916" s="30" t="str">
        <x:v>standard</x:v>
      </x:c>
      <x:c r="H916" s="30" t="str">
        <x:v>year-round</x:v>
      </x:c>
      <x:c r="I9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7">
      <x:c r="A917" s="36" t="str">
        <x:v>east_africa</x:v>
      </x:c>
      <x:c r="B917" s="30" t="str">
        <x:v>east-africa-broad-draft-1</x:v>
      </x:c>
      <x:c r="C917" s="30" t="n">
        <x:v>1431008</x:v>
      </x:c>
      <x:c r="D917" s="32" t="str">
        <x:v>Eastern Aardwolf</x:v>
      </x:c>
      <x:c r="E917" s="32" t="str">
        <x:v>Proteles septentrionalis</x:v>
      </x:c>
      <x:c r="F917" s="30" t="str">
        <x:v>uncommon</x:v>
      </x:c>
      <x:c r="G917" s="30" t="str">
        <x:v>standard</x:v>
      </x:c>
      <x:c r="H917" s="30" t="str">
        <x:v>year-round</x:v>
      </x:c>
      <x:c r="I9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8">
      <x:c r="A918" s="36" t="str">
        <x:v>east_africa</x:v>
      </x:c>
      <x:c r="B918" s="30" t="str">
        <x:v>east-africa-broad-draft-1</x:v>
      </x:c>
      <x:c r="C918" s="30" t="n">
        <x:v>43473</x:v>
      </x:c>
      <x:c r="D918" s="32" t="str">
        <x:v>De Brazza's Monkey</x:v>
      </x:c>
      <x:c r="E918" s="32" t="str">
        <x:v>Cercopithecus neglectus</x:v>
      </x:c>
      <x:c r="F918" s="30" t="str">
        <x:v>uncommon</x:v>
      </x:c>
      <x:c r="G918" s="30" t="str">
        <x:v>standard</x:v>
      </x:c>
      <x:c r="H918" s="30" t="str">
        <x:v>year-round</x:v>
      </x:c>
      <x:c r="I9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19">
      <x:c r="A919" s="36" t="str">
        <x:v>east_africa</x:v>
      </x:c>
      <x:c r="B919" s="30" t="str">
        <x:v>east-africa-broad-draft-1</x:v>
      </x:c>
      <x:c r="C919" s="30" t="n">
        <x:v>41582</x:v>
      </x:c>
      <x:c r="D919" s="32" t="str">
        <x:v>African Palm-civet</x:v>
      </x:c>
      <x:c r="E919" s="32" t="str">
        <x:v>Nandinia binotata</x:v>
      </x:c>
      <x:c r="F919" s="30" t="str">
        <x:v>uncommon</x:v>
      </x:c>
      <x:c r="G919" s="30" t="str">
        <x:v>standard</x:v>
      </x:c>
      <x:c r="H919" s="30" t="str">
        <x:v>year-round</x:v>
      </x:c>
      <x:c r="I9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0">
      <x:c r="A920" s="36" t="str">
        <x:v>east_africa</x:v>
      </x:c>
      <x:c r="B920" s="30" t="str">
        <x:v>east-africa-broad-draft-1</x:v>
      </x:c>
      <x:c r="C920" s="30" t="n">
        <x:v>43997</x:v>
      </x:c>
      <x:c r="D920" s="32" t="str">
        <x:v>Coypu</x:v>
      </x:c>
      <x:c r="E920" s="32" t="str">
        <x:v>Myocastor coypus</x:v>
      </x:c>
      <x:c r="F920" s="30" t="str">
        <x:v>uncommon</x:v>
      </x:c>
      <x:c r="G920" s="30" t="str">
        <x:v>standard</x:v>
      </x:c>
      <x:c r="H920" s="30" t="str">
        <x:v>year-round</x:v>
      </x:c>
      <x:c r="I9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1">
      <x:c r="A921" s="36" t="str">
        <x:v>east_africa</x:v>
      </x:c>
      <x:c r="B921" s="30" t="str">
        <x:v>east-africa-broad-draft-1</x:v>
      </x:c>
      <x:c r="C921" s="30" t="n">
        <x:v>43480</x:v>
      </x:c>
      <x:c r="D921" s="32" t="str">
        <x:v>Red-tailed Monkey</x:v>
      </x:c>
      <x:c r="E921" s="32" t="str">
        <x:v>Cercopithecus ascanius</x:v>
      </x:c>
      <x:c r="F921" s="30" t="str">
        <x:v>uncommon</x:v>
      </x:c>
      <x:c r="G921" s="30" t="str">
        <x:v>standard</x:v>
      </x:c>
      <x:c r="H921" s="30" t="str">
        <x:v>year-round</x:v>
      </x:c>
      <x:c r="I9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2">
      <x:c r="A922" s="36" t="str">
        <x:v>east_africa</x:v>
      </x:c>
      <x:c r="B922" s="30" t="str">
        <x:v>east-africa-broad-draft-1</x:v>
      </x:c>
      <x:c r="C922" s="30" t="n">
        <x:v>42340</x:v>
      </x:c>
      <x:c r="D922" s="32" t="str">
        <x:v>Lesser Kudu</x:v>
      </x:c>
      <x:c r="E922" s="32" t="str">
        <x:v>Tragelaphus imberbis</x:v>
      </x:c>
      <x:c r="F922" s="30" t="str">
        <x:v>uncommon</x:v>
      </x:c>
      <x:c r="G922" s="30" t="str">
        <x:v>standard</x:v>
      </x:c>
      <x:c r="H922" s="30" t="str">
        <x:v>year-round</x:v>
      </x:c>
      <x:c r="I9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3">
      <x:c r="A923" s="36" t="str">
        <x:v>east_africa</x:v>
      </x:c>
      <x:c r="B923" s="30" t="str">
        <x:v>east-africa-broad-draft-1</x:v>
      </x:c>
      <x:c r="C923" s="30" t="n">
        <x:v>42375</x:v>
      </x:c>
      <x:c r="D923" s="32" t="str">
        <x:v>Steenbok</x:v>
      </x:c>
      <x:c r="E923" s="32" t="str">
        <x:v>Raphicerus campestris</x:v>
      </x:c>
      <x:c r="F923" s="30" t="str">
        <x:v>uncommon</x:v>
      </x:c>
      <x:c r="G923" s="30" t="str">
        <x:v>standard</x:v>
      </x:c>
      <x:c r="H923" s="30" t="str">
        <x:v>year-round</x:v>
      </x:c>
      <x:c r="I9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4">
      <x:c r="A924" s="36" t="str">
        <x:v>east_africa</x:v>
      </x:c>
      <x:c r="B924" s="30" t="str">
        <x:v>east-africa-broad-draft-1</x:v>
      </x:c>
      <x:c r="C924" s="30" t="n">
        <x:v>40901</x:v>
      </x:c>
      <x:c r="D924" s="32" t="str">
        <x:v>Pemba Flying-fox</x:v>
      </x:c>
      <x:c r="E924" s="32" t="str">
        <x:v>Pteropus voeltzkowi</x:v>
      </x:c>
      <x:c r="F924" s="30" t="str">
        <x:v>uncommon</x:v>
      </x:c>
      <x:c r="G924" s="30" t="str">
        <x:v>standard</x:v>
      </x:c>
      <x:c r="H924" s="30" t="str">
        <x:v>year-round</x:v>
      </x:c>
      <x:c r="I9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5">
      <x:c r="A925" s="36" t="str">
        <x:v>east_africa</x:v>
      </x:c>
      <x:c r="B925" s="30" t="str">
        <x:v>east-africa-broad-draft-1</x:v>
      </x:c>
      <x:c r="C925" s="30" t="n">
        <x:v>42354</x:v>
      </x:c>
      <x:c r="D925" s="32" t="str">
        <x:v>Walia Ibex</x:v>
      </x:c>
      <x:c r="E925" s="32" t="str">
        <x:v>Capra walie</x:v>
      </x:c>
      <x:c r="F925" s="30" t="str">
        <x:v>uncommon</x:v>
      </x:c>
      <x:c r="G925" s="30" t="str">
        <x:v>standard</x:v>
      </x:c>
      <x:c r="H925" s="30" t="str">
        <x:v>year-round</x:v>
      </x:c>
      <x:c r="I9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6">
      <x:c r="A926" s="36" t="str">
        <x:v>east_africa</x:v>
      </x:c>
      <x:c r="B926" s="30" t="str">
        <x:v>east-africa-broad-draft-1</x:v>
      </x:c>
      <x:c r="C926" s="30" t="n">
        <x:v>469961</x:v>
      </x:c>
      <x:c r="D926" s="32" t="str">
        <x:v>Indian Humpback Dolphin</x:v>
      </x:c>
      <x:c r="E926" s="32" t="str">
        <x:v>Sousa plumbea</x:v>
      </x:c>
      <x:c r="F926" s="30" t="str">
        <x:v>uncommon</x:v>
      </x:c>
      <x:c r="G926" s="30" t="str">
        <x:v>standard</x:v>
      </x:c>
      <x:c r="H926" s="30" t="str">
        <x:v>year-round</x:v>
      </x:c>
      <x:c r="I9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7">
      <x:c r="A927" s="36" t="str">
        <x:v>east_africa</x:v>
      </x:c>
      <x:c r="B927" s="30" t="str">
        <x:v>east-africa-broad-draft-1</x:v>
      </x:c>
      <x:c r="C927" s="30" t="n">
        <x:v>46192</x:v>
      </x:c>
      <x:c r="D927" s="32" t="str">
        <x:v>Ruwenzori Sun Squirrel</x:v>
      </x:c>
      <x:c r="E927" s="32" t="str">
        <x:v>Heliosciurus ruwenzorii</x:v>
      </x:c>
      <x:c r="F927" s="30" t="str">
        <x:v>uncommon</x:v>
      </x:c>
      <x:c r="G927" s="30" t="str">
        <x:v>standard</x:v>
      </x:c>
      <x:c r="H927" s="30" t="str">
        <x:v>year-round</x:v>
      </x:c>
      <x:c r="I9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8">
      <x:c r="A928" s="36" t="str">
        <x:v>east_africa</x:v>
      </x:c>
      <x:c r="B928" s="30" t="str">
        <x:v>east-africa-broad-draft-1</x:v>
      </x:c>
      <x:c r="C928" s="30" t="n">
        <x:v>43224</x:v>
      </x:c>
      <x:c r="D928" s="32" t="str">
        <x:v>Black-and-rufous Sengi</x:v>
      </x:c>
      <x:c r="E928" s="32" t="str">
        <x:v>Rhynchocyon petersi</x:v>
      </x:c>
      <x:c r="F928" s="30" t="str">
        <x:v>uncommon</x:v>
      </x:c>
      <x:c r="G928" s="30" t="str">
        <x:v>standard</x:v>
      </x:c>
      <x:c r="H928" s="30" t="str">
        <x:v>year-round</x:v>
      </x:c>
      <x:c r="I9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29">
      <x:c r="A929" s="36" t="str">
        <x:v>east_africa</x:v>
      </x:c>
      <x:c r="B929" s="30" t="str">
        <x:v>east-africa-broad-draft-1</x:v>
      </x:c>
      <x:c r="C929" s="30" t="n">
        <x:v>44990</x:v>
      </x:c>
      <x:c r="D929" s="32" t="str">
        <x:v>Giant Root Rat</x:v>
      </x:c>
      <x:c r="E929" s="32" t="str">
        <x:v>Tachyoryctes macrocephalus</x:v>
      </x:c>
      <x:c r="F929" s="30" t="str">
        <x:v>uncommon</x:v>
      </x:c>
      <x:c r="G929" s="30" t="str">
        <x:v>standard</x:v>
      </x:c>
      <x:c r="H929" s="30" t="str">
        <x:v>year-round</x:v>
      </x:c>
      <x:c r="I9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0">
      <x:c r="A930" s="36" t="str">
        <x:v>east_africa</x:v>
      </x:c>
      <x:c r="B930" s="30" t="str">
        <x:v>east-africa-broad-draft-1</x:v>
      </x:c>
      <x:c r="C930" s="30" t="n">
        <x:v>43348</x:v>
      </x:c>
      <x:c r="D930" s="32" t="str">
        <x:v>White Rhinoceros</x:v>
      </x:c>
      <x:c r="E930" s="32" t="str">
        <x:v>Ceratotherium simum</x:v>
      </x:c>
      <x:c r="F930" s="30" t="str">
        <x:v>uncommon</x:v>
      </x:c>
      <x:c r="G930" s="30" t="str">
        <x:v>standard</x:v>
      </x:c>
      <x:c r="H930" s="30" t="str">
        <x:v>year-round</x:v>
      </x:c>
      <x:c r="I9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1">
      <x:c r="A931" s="36" t="str">
        <x:v>east_africa</x:v>
      </x:c>
      <x:c r="B931" s="30" t="str">
        <x:v>east-africa-broad-draft-1</x:v>
      </x:c>
      <x:c r="C931" s="30" t="n">
        <x:v>74851</x:v>
      </x:c>
      <x:c r="D931" s="32" t="str">
        <x:v>Eastern Springhare</x:v>
      </x:c>
      <x:c r="E931" s="32" t="str">
        <x:v>Pedetes surdaster</x:v>
      </x:c>
      <x:c r="F931" s="30" t="str">
        <x:v>uncommon</x:v>
      </x:c>
      <x:c r="G931" s="30" t="str">
        <x:v>standard</x:v>
      </x:c>
      <x:c r="H931" s="30" t="str">
        <x:v>year-round</x:v>
      </x:c>
      <x:c r="I9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2">
      <x:c r="A932" s="36" t="str">
        <x:v>east_africa</x:v>
      </x:c>
      <x:c r="B932" s="30" t="str">
        <x:v>east-africa-broad-draft-1</x:v>
      </x:c>
      <x:c r="C932" s="30" t="n">
        <x:v>46202</x:v>
      </x:c>
      <x:c r="D932" s="32" t="str">
        <x:v>Forest Giant Squirrel</x:v>
      </x:c>
      <x:c r="E932" s="32" t="str">
        <x:v>Protoxerus stangeri</x:v>
      </x:c>
      <x:c r="F932" s="30" t="str">
        <x:v>uncommon</x:v>
      </x:c>
      <x:c r="G932" s="30" t="str">
        <x:v>standard</x:v>
      </x:c>
      <x:c r="H932" s="30" t="str">
        <x:v>year-round</x:v>
      </x:c>
      <x:c r="I9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3">
      <x:c r="A933" s="36" t="str">
        <x:v>east_africa</x:v>
      </x:c>
      <x:c r="B933" s="30" t="str">
        <x:v>east-africa-broad-draft-1</x:v>
      </x:c>
      <x:c r="C933" s="30" t="n">
        <x:v>42341</x:v>
      </x:c>
      <x:c r="D933" s="32" t="str">
        <x:v>Northern Bushbuck</x:v>
      </x:c>
      <x:c r="E933" s="32" t="str">
        <x:v>Tragelaphus scriptus</x:v>
      </x:c>
      <x:c r="F933" s="30" t="str">
        <x:v>uncommon</x:v>
      </x:c>
      <x:c r="G933" s="30" t="str">
        <x:v>standard</x:v>
      </x:c>
      <x:c r="H933" s="30" t="str">
        <x:v>year-round</x:v>
      </x:c>
      <x:c r="I9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4">
      <x:c r="A934" s="36" t="str">
        <x:v>east_africa</x:v>
      </x:c>
      <x:c r="B934" s="30" t="str">
        <x:v>east-africa-broad-draft-1</x:v>
      </x:c>
      <x:c r="C934" s="30" t="n">
        <x:v>41900</x:v>
      </x:c>
      <x:c r="D934" s="32" t="str">
        <x:v>Egyptian Mongoose</x:v>
      </x:c>
      <x:c r="E934" s="32" t="str">
        <x:v>Herpestes ichneumon</x:v>
      </x:c>
      <x:c r="F934" s="30" t="str">
        <x:v>uncommon</x:v>
      </x:c>
      <x:c r="G934" s="30" t="str">
        <x:v>standard</x:v>
      </x:c>
      <x:c r="H934" s="30" t="str">
        <x:v>year-round</x:v>
      </x:c>
      <x:c r="I9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5">
      <x:c r="A935" s="36" t="str">
        <x:v>east_africa</x:v>
      </x:c>
      <x:c r="B935" s="30" t="str">
        <x:v>east-africa-broad-draft-1</x:v>
      </x:c>
      <x:c r="C935" s="30" t="n">
        <x:v>40811</x:v>
      </x:c>
      <x:c r="D935" s="32" t="str">
        <x:v>Wahlberg's Epauletted Fruit Bat</x:v>
      </x:c>
      <x:c r="E935" s="32" t="str">
        <x:v>Epomophorus wahlbergi</x:v>
      </x:c>
      <x:c r="F935" s="30" t="str">
        <x:v>uncommon</x:v>
      </x:c>
      <x:c r="G935" s="30" t="str">
        <x:v>standard</x:v>
      </x:c>
      <x:c r="H935" s="30" t="str">
        <x:v>year-round</x:v>
      </x:c>
      <x:c r="I9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6">
      <x:c r="A936" s="36" t="str">
        <x:v>east_africa</x:v>
      </x:c>
      <x:c r="B936" s="30" t="str">
        <x:v>east-africa-broad-draft-1</x:v>
      </x:c>
      <x:c r="C936" s="30" t="n">
        <x:v>43564</x:v>
      </x:c>
      <x:c r="D936" s="32" t="str">
        <x:v>Somali Lesser Galago</x:v>
      </x:c>
      <x:c r="E936" s="32" t="str">
        <x:v>Galago gallarum</x:v>
      </x:c>
      <x:c r="F936" s="30" t="str">
        <x:v>uncommon</x:v>
      </x:c>
      <x:c r="G936" s="30" t="str">
        <x:v>standard</x:v>
      </x:c>
      <x:c r="H936" s="30" t="str">
        <x:v>year-round</x:v>
      </x:c>
      <x:c r="I9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7">
      <x:c r="A937" s="36" t="str">
        <x:v>east_africa</x:v>
      </x:c>
      <x:c r="B937" s="30" t="str">
        <x:v>east-africa-broad-draft-1</x:v>
      </x:c>
      <x:c r="C937" s="30" t="n">
        <x:v>43137</x:v>
      </x:c>
      <x:c r="D937" s="32" t="str">
        <x:v>Ethiopian Highland Hare</x:v>
      </x:c>
      <x:c r="E937" s="32" t="str">
        <x:v>Lepus starcki</x:v>
      </x:c>
      <x:c r="F937" s="30" t="str">
        <x:v>uncommon</x:v>
      </x:c>
      <x:c r="G937" s="30" t="str">
        <x:v>standard</x:v>
      </x:c>
      <x:c r="H937" s="30" t="str">
        <x:v>year-round</x:v>
      </x:c>
      <x:c r="I9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8">
      <x:c r="A938" s="36" t="str">
        <x:v>east_africa</x:v>
      </x:c>
      <x:c r="B938" s="30" t="str">
        <x:v>east-africa-broad-draft-1</x:v>
      </x:c>
      <x:c r="C938" s="30" t="n">
        <x:v>42042</x:v>
      </x:c>
      <x:c r="D938" s="32" t="str">
        <x:v>Caracal</x:v>
      </x:c>
      <x:c r="E938" s="32" t="str">
        <x:v>Caracal caracal</x:v>
      </x:c>
      <x:c r="F938" s="30" t="str">
        <x:v>rare</x:v>
      </x:c>
      <x:c r="G938" s="30" t="str">
        <x:v>standard</x:v>
      </x:c>
      <x:c r="H938" s="30" t="str">
        <x:v>year-round</x:v>
      </x:c>
      <x:c r="I9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39">
      <x:c r="A939" s="36" t="str">
        <x:v>east_africa</x:v>
      </x:c>
      <x:c r="B939" s="30" t="str">
        <x:v>east-africa-broad-draft-1</x:v>
      </x:c>
      <x:c r="C939" s="30" t="n">
        <x:v>42364</x:v>
      </x:c>
      <x:c r="D939" s="32" t="str">
        <x:v>Gerenuk</x:v>
      </x:c>
      <x:c r="E939" s="32" t="str">
        <x:v>Litocranius walleri</x:v>
      </x:c>
      <x:c r="F939" s="30" t="str">
        <x:v>rare</x:v>
      </x:c>
      <x:c r="G939" s="30" t="str">
        <x:v>standard</x:v>
      </x:c>
      <x:c r="H939" s="30" t="str">
        <x:v>year-round</x:v>
      </x:c>
      <x:c r="I9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0">
      <x:c r="A940" s="36" t="str">
        <x:v>east_africa</x:v>
      </x:c>
      <x:c r="B940" s="30" t="str">
        <x:v>east-africa-broad-draft-1</x:v>
      </x:c>
      <x:c r="C940" s="30" t="n">
        <x:v>41195</x:v>
      </x:c>
      <x:c r="D940" s="32" t="str">
        <x:v>Hairy Slit-faced Bat</x:v>
      </x:c>
      <x:c r="E940" s="32" t="str">
        <x:v>Nycteris hispida</x:v>
      </x:c>
      <x:c r="F940" s="30" t="str">
        <x:v>rare</x:v>
      </x:c>
      <x:c r="G940" s="30" t="str">
        <x:v>standard</x:v>
      </x:c>
      <x:c r="H940" s="30" t="str">
        <x:v>year-round</x:v>
      </x:c>
      <x:c r="I9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1">
      <x:c r="A941" s="36" t="str">
        <x:v>east_africa</x:v>
      </x:c>
      <x:c r="B941" s="30" t="str">
        <x:v>east-africa-broad-draft-1</x:v>
      </x:c>
      <x:c r="C941" s="30" t="n">
        <x:v>41925</x:v>
      </x:c>
      <x:c r="D941" s="32" t="str">
        <x:v>Bushy-tailed Mongoose</x:v>
      </x:c>
      <x:c r="E941" s="32" t="str">
        <x:v>Bdeogale crassicauda</x:v>
      </x:c>
      <x:c r="F941" s="30" t="str">
        <x:v>rare</x:v>
      </x:c>
      <x:c r="G941" s="30" t="str">
        <x:v>standard</x:v>
      </x:c>
      <x:c r="H941" s="30" t="str">
        <x:v>year-round</x:v>
      </x:c>
      <x:c r="I9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2">
      <x:c r="A942" s="36" t="str">
        <x:v>east_africa</x:v>
      </x:c>
      <x:c r="B942" s="30" t="str">
        <x:v>east-africa-broad-draft-1</x:v>
      </x:c>
      <x:c r="C942" s="30" t="n">
        <x:v>74108</x:v>
      </x:c>
      <x:c r="D942" s="32" t="str">
        <x:v>Hirola</x:v>
      </x:c>
      <x:c r="E942" s="32" t="str">
        <x:v>Beatragus hunteri</x:v>
      </x:c>
      <x:c r="F942" s="30" t="str">
        <x:v>rare</x:v>
      </x:c>
      <x:c r="G942" s="30" t="str">
        <x:v>standard</x:v>
      </x:c>
      <x:c r="H942" s="30" t="str">
        <x:v>year-round</x:v>
      </x:c>
      <x:c r="I9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3">
      <x:c r="A943" s="36" t="str">
        <x:v>east_africa</x:v>
      </x:c>
      <x:c r="B943" s="30" t="str">
        <x:v>east-africa-broad-draft-1</x:v>
      </x:c>
      <x:c r="C943" s="30" t="n">
        <x:v>1430996</x:v>
      </x:c>
      <x:c r="D943" s="32" t="str">
        <x:v>Weyns's Duiker</x:v>
      </x:c>
      <x:c r="E943" s="32" t="str">
        <x:v>Cephalophorus weynsi</x:v>
      </x:c>
      <x:c r="F943" s="30" t="str">
        <x:v>rare</x:v>
      </x:c>
      <x:c r="G943" s="30" t="str">
        <x:v>standard</x:v>
      </x:c>
      <x:c r="H943" s="30" t="str">
        <x:v>year-round</x:v>
      </x:c>
      <x:c r="I9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4">
      <x:c r="A944" s="36" t="str">
        <x:v>east_africa</x:v>
      </x:c>
      <x:c r="B944" s="30" t="str">
        <x:v>east-africa-broad-draft-1</x:v>
      </x:c>
      <x:c r="C944" s="30" t="n">
        <x:v>74503</x:v>
      </x:c>
      <x:c r="D944" s="32" t="str">
        <x:v>Abyssinian Hare</x:v>
      </x:c>
      <x:c r="E944" s="32" t="str">
        <x:v>Lepus habessinicus</x:v>
      </x:c>
      <x:c r="F944" s="30" t="str">
        <x:v>rare</x:v>
      </x:c>
      <x:c r="G944" s="30" t="str">
        <x:v>standard</x:v>
      </x:c>
      <x:c r="H944" s="30" t="str">
        <x:v>year-round</x:v>
      </x:c>
      <x:c r="I9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5">
      <x:c r="A945" s="36" t="str">
        <x:v>east_africa</x:v>
      </x:c>
      <x:c r="B945" s="30" t="str">
        <x:v>east-africa-broad-draft-1</x:v>
      </x:c>
      <x:c r="C945" s="30" t="n">
        <x:v>46109</x:v>
      </x:c>
      <x:c r="D945" s="32" t="str">
        <x:v>Alexander's Bush Squirrel</x:v>
      </x:c>
      <x:c r="E945" s="32" t="str">
        <x:v>Paraxerus alexandri</x:v>
      </x:c>
      <x:c r="F945" s="30" t="str">
        <x:v>rare</x:v>
      </x:c>
      <x:c r="G945" s="30" t="str">
        <x:v>standard</x:v>
      </x:c>
      <x:c r="H945" s="30" t="str">
        <x:v>year-round</x:v>
      </x:c>
      <x:c r="I9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6">
      <x:c r="A946" s="36" t="str">
        <x:v>east_africa</x:v>
      </x:c>
      <x:c r="B946" s="30" t="str">
        <x:v>east-africa-broad-draft-1</x:v>
      </x:c>
      <x:c r="C946" s="30" t="n">
        <x:v>46107</x:v>
      </x:c>
      <x:c r="D946" s="32" t="str">
        <x:v>Swynnerton's Bush Squirrel</x:v>
      </x:c>
      <x:c r="E946" s="32" t="str">
        <x:v>Paraxerus vexillarius</x:v>
      </x:c>
      <x:c r="F946" s="30" t="str">
        <x:v>rare</x:v>
      </x:c>
      <x:c r="G946" s="30" t="str">
        <x:v>standard</x:v>
      </x:c>
      <x:c r="H946" s="30" t="str">
        <x:v>year-round</x:v>
      </x:c>
      <x:c r="I9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7">
      <x:c r="A947" s="36" t="str">
        <x:v>east_africa</x:v>
      </x:c>
      <x:c r="B947" s="30" t="str">
        <x:v>east-africa-broad-draft-1</x:v>
      </x:c>
      <x:c r="C947" s="30" t="n">
        <x:v>183177</x:v>
      </x:c>
      <x:c r="D947" s="32" t="str">
        <x:v>African Sheath-tailed Bat</x:v>
      </x:c>
      <x:c r="E947" s="32" t="str">
        <x:v>Coleura afra</x:v>
      </x:c>
      <x:c r="F947" s="30" t="str">
        <x:v>rare</x:v>
      </x:c>
      <x:c r="G947" s="30" t="str">
        <x:v>standard</x:v>
      </x:c>
      <x:c r="H947" s="30" t="str">
        <x:v>year-round</x:v>
      </x:c>
      <x:c r="I9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8">
      <x:c r="A948" s="36" t="str">
        <x:v>east_africa</x:v>
      </x:c>
      <x:c r="B948" s="30" t="str">
        <x:v>east-africa-broad-draft-1</x:v>
      </x:c>
      <x:c r="C948" s="30" t="n">
        <x:v>45962</x:v>
      </x:c>
      <x:c r="D948" s="32" t="str">
        <x:v>Carruthers' Mountain Squirrel</x:v>
      </x:c>
      <x:c r="E948" s="32" t="str">
        <x:v>Funisciurus carruthersi</x:v>
      </x:c>
      <x:c r="F948" s="30" t="str">
        <x:v>rare</x:v>
      </x:c>
      <x:c r="G948" s="30" t="str">
        <x:v>standard</x:v>
      </x:c>
      <x:c r="H948" s="30" t="str">
        <x:v>year-round</x:v>
      </x:c>
      <x:c r="I9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49">
      <x:c r="A949" s="36" t="str">
        <x:v>east_africa</x:v>
      </x:c>
      <x:c r="B949" s="30" t="str">
        <x:v>east-africa-broad-draft-1</x:v>
      </x:c>
      <x:c r="C949" s="30" t="n">
        <x:v>42338</x:v>
      </x:c>
      <x:c r="D949" s="32" t="str">
        <x:v>Sitatunga</x:v>
      </x:c>
      <x:c r="E949" s="32" t="str">
        <x:v>Tragelaphus spekii</x:v>
      </x:c>
      <x:c r="F949" s="30" t="str">
        <x:v>rare</x:v>
      </x:c>
      <x:c r="G949" s="30" t="str">
        <x:v>standard</x:v>
      </x:c>
      <x:c r="H949" s="30" t="str">
        <x:v>year-round</x:v>
      </x:c>
      <x:c r="I9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0">
      <x:c r="A950" s="36" t="str">
        <x:v>east_africa</x:v>
      </x:c>
      <x:c r="B950" s="30" t="str">
        <x:v>east-africa-broad-draft-1</x:v>
      </x:c>
      <x:c r="C950" s="30" t="n">
        <x:v>43746</x:v>
      </x:c>
      <x:c r="D950" s="32" t="str">
        <x:v>Naked Molerat</x:v>
      </x:c>
      <x:c r="E950" s="32" t="str">
        <x:v>Heterocephalus glaber</x:v>
      </x:c>
      <x:c r="F950" s="30" t="str">
        <x:v>rare</x:v>
      </x:c>
      <x:c r="G950" s="30" t="str">
        <x:v>standard</x:v>
      </x:c>
      <x:c r="H950" s="30" t="str">
        <x:v>year-round</x:v>
      </x:c>
      <x:c r="I9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1">
      <x:c r="A951" s="36" t="str">
        <x:v>east_africa</x:v>
      </x:c>
      <x:c r="B951" s="30" t="str">
        <x:v>east-africa-broad-draft-1</x:v>
      </x:c>
      <x:c r="C951" s="30" t="n">
        <x:v>42332</x:v>
      </x:c>
      <x:c r="D951" s="32" t="str">
        <x:v>Roan Antelope</x:v>
      </x:c>
      <x:c r="E951" s="32" t="str">
        <x:v>Hippotragus equinus</x:v>
      </x:c>
      <x:c r="F951" s="30" t="str">
        <x:v>rare</x:v>
      </x:c>
      <x:c r="G951" s="30" t="str">
        <x:v>standard</x:v>
      </x:c>
      <x:c r="H951" s="30" t="str">
        <x:v>year-round</x:v>
      </x:c>
      <x:c r="I9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2">
      <x:c r="A952" s="36" t="str">
        <x:v>east_africa</x:v>
      </x:c>
      <x:c r="B952" s="30" t="str">
        <x:v>east-africa-broad-draft-1</x:v>
      </x:c>
      <x:c r="C952" s="30" t="n">
        <x:v>43462</x:v>
      </x:c>
      <x:c r="D952" s="32" t="str">
        <x:v>Patas Monkey</x:v>
      </x:c>
      <x:c r="E952" s="32" t="str">
        <x:v>Erythrocebus patas</x:v>
      </x:c>
      <x:c r="F952" s="30" t="str">
        <x:v>rare</x:v>
      </x:c>
      <x:c r="G952" s="30" t="str">
        <x:v>standard</x:v>
      </x:c>
      <x:c r="H952" s="30" t="str">
        <x:v>year-round</x:v>
      </x:c>
      <x:c r="I9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3">
      <x:c r="A953" s="36" t="str">
        <x:v>east_africa</x:v>
      </x:c>
      <x:c r="B953" s="30" t="str">
        <x:v>east-africa-broad-draft-1</x:v>
      </x:c>
      <x:c r="C953" s="30" t="n">
        <x:v>46111</x:v>
      </x:c>
      <x:c r="D953" s="32" t="str">
        <x:v>Striped Bush Squirrel</x:v>
      </x:c>
      <x:c r="E953" s="32" t="str">
        <x:v>Paraxerus flavovittis</x:v>
      </x:c>
      <x:c r="F953" s="30" t="str">
        <x:v>rare</x:v>
      </x:c>
      <x:c r="G953" s="30" t="str">
        <x:v>standard</x:v>
      </x:c>
      <x:c r="H953" s="30" t="str">
        <x:v>year-round</x:v>
      </x:c>
      <x:c r="I9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4">
      <x:c r="A954" s="36" t="str">
        <x:v>east_africa</x:v>
      </x:c>
      <x:c r="B954" s="30" t="str">
        <x:v>east-africa-broad-draft-1</x:v>
      </x:c>
      <x:c r="C954" s="30" t="n">
        <x:v>549031</x:v>
      </x:c>
      <x:c r="D954" s="32" t="str">
        <x:v>East African Potto</x:v>
      </x:c>
      <x:c r="E954" s="32" t="str">
        <x:v>Perodicticus ibeanus</x:v>
      </x:c>
      <x:c r="F954" s="30" t="str">
        <x:v>rare</x:v>
      </x:c>
      <x:c r="G954" s="30" t="str">
        <x:v>standard</x:v>
      </x:c>
      <x:c r="H954" s="30" t="str">
        <x:v>year-round</x:v>
      </x:c>
      <x:c r="I9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5">
      <x:c r="A955" s="36" t="str">
        <x:v>east_africa</x:v>
      </x:c>
      <x:c r="B955" s="30" t="str">
        <x:v>east-africa-broad-draft-1</x:v>
      </x:c>
      <x:c r="C955" s="30" t="n">
        <x:v>42330</x:v>
      </x:c>
      <x:c r="D955" s="32" t="str">
        <x:v>Kob</x:v>
      </x:c>
      <x:c r="E955" s="32" t="str">
        <x:v>Kobus kob</x:v>
      </x:c>
      <x:c r="F955" s="30" t="str">
        <x:v>rare</x:v>
      </x:c>
      <x:c r="G955" s="30" t="str">
        <x:v>standard</x:v>
      </x:c>
      <x:c r="H955" s="30" t="str">
        <x:v>year-round</x:v>
      </x:c>
      <x:c r="I9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6">
      <x:c r="A956" s="36" t="str">
        <x:v>east_africa</x:v>
      </x:c>
      <x:c r="B956" s="30" t="str">
        <x:v>east-africa-broad-draft-1</x:v>
      </x:c>
      <x:c r="C956" s="30" t="n">
        <x:v>74866</x:v>
      </x:c>
      <x:c r="D956" s="32" t="str">
        <x:v>White-bellied Pangolin</x:v>
      </x:c>
      <x:c r="E956" s="32" t="str">
        <x:v>Phataginus tricuspis</x:v>
      </x:c>
      <x:c r="F956" s="30" t="str">
        <x:v>rare</x:v>
      </x:c>
      <x:c r="G956" s="30" t="str">
        <x:v>standard</x:v>
      </x:c>
      <x:c r="H956" s="30" t="str">
        <x:v>year-round</x:v>
      </x:c>
      <x:c r="I9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7">
      <x:c r="A957" s="36" t="str">
        <x:v>east_africa</x:v>
      </x:c>
      <x:c r="B957" s="30" t="str">
        <x:v>east-africa-broad-draft-1</x:v>
      </x:c>
      <x:c r="C957" s="30" t="n">
        <x:v>43468</x:v>
      </x:c>
      <x:c r="D957" s="32" t="str">
        <x:v>Tana River Crested Mangabey</x:v>
      </x:c>
      <x:c r="E957" s="32" t="str">
        <x:v>Cercocebus galeritus</x:v>
      </x:c>
      <x:c r="F957" s="30" t="str">
        <x:v>very_rare</x:v>
      </x:c>
      <x:c r="G957" s="30" t="str">
        <x:v>standard</x:v>
      </x:c>
      <x:c r="H957" s="30" t="str">
        <x:v>year-round</x:v>
      </x:c>
      <x:c r="I9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8">
      <x:c r="A958" s="36" t="str">
        <x:v>east_africa</x:v>
      </x:c>
      <x:c r="B958" s="30" t="str">
        <x:v>east-africa-broad-draft-1</x:v>
      </x:c>
      <x:c r="C958" s="30" t="n">
        <x:v>40843</x:v>
      </x:c>
      <x:c r="D958" s="32" t="str">
        <x:v>Hammer-headed Fruit Bat</x:v>
      </x:c>
      <x:c r="E958" s="32" t="str">
        <x:v>Hypsignathus monstrosus</x:v>
      </x:c>
      <x:c r="F958" s="30" t="str">
        <x:v>rare</x:v>
      </x:c>
      <x:c r="G958" s="30" t="str">
        <x:v>standard</x:v>
      </x:c>
      <x:c r="H958" s="30" t="str">
        <x:v>year-round</x:v>
      </x:c>
      <x:c r="I9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59">
      <x:c r="A959" s="36" t="str">
        <x:v>east_africa</x:v>
      </x:c>
      <x:c r="B959" s="30" t="str">
        <x:v>east-africa-broad-draft-1</x:v>
      </x:c>
      <x:c r="C959" s="30" t="n">
        <x:v>44950</x:v>
      </x:c>
      <x:c r="D959" s="32" t="str">
        <x:v>Maned Rat</x:v>
      </x:c>
      <x:c r="E959" s="32" t="str">
        <x:v>Lophiomys imhausi</x:v>
      </x:c>
      <x:c r="F959" s="30" t="str">
        <x:v>very_rare</x:v>
      </x:c>
      <x:c r="G959" s="30" t="str">
        <x:v>standard</x:v>
      </x:c>
      <x:c r="H959" s="30" t="str">
        <x:v>year-round</x:v>
      </x:c>
      <x:c r="I9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0">
      <x:c r="A960" s="36" t="str">
        <x:v>east_africa</x:v>
      </x:c>
      <x:c r="B960" s="30" t="str">
        <x:v>east-africa-broad-draft-1</x:v>
      </x:c>
      <x:c r="C960" s="30" t="n">
        <x:v>1275849</x:v>
      </x:c>
      <x:c r="D960" s="32" t="str">
        <x:v>Rufous Sengi</x:v>
      </x:c>
      <x:c r="E960" s="32" t="str">
        <x:v>Galegeeska rufescens</x:v>
      </x:c>
      <x:c r="F960" s="30" t="str">
        <x:v>very_rare</x:v>
      </x:c>
      <x:c r="G960" s="30" t="str">
        <x:v>standard</x:v>
      </x:c>
      <x:c r="H960" s="30" t="str">
        <x:v>year-round</x:v>
      </x:c>
      <x:c r="I9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1">
      <x:c r="A961" s="36" t="str">
        <x:v>east_africa</x:v>
      </x:c>
      <x:c r="B961" s="30" t="str">
        <x:v>east-africa-broad-draft-1</x:v>
      </x:c>
      <x:c r="C961" s="30" t="n">
        <x:v>520070</x:v>
      </x:c>
      <x:c r="D961" s="32" t="str">
        <x:v>Tana River Red Colobus</x:v>
      </x:c>
      <x:c r="E961" s="32" t="str">
        <x:v>Piliocolobus rufomitratus</x:v>
      </x:c>
      <x:c r="F961" s="30" t="str">
        <x:v>very_rare</x:v>
      </x:c>
      <x:c r="G961" s="30" t="str">
        <x:v>standard</x:v>
      </x:c>
      <x:c r="H961" s="30" t="str">
        <x:v>year-round</x:v>
      </x:c>
      <x:c r="I9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2">
      <x:c r="A962" s="36" t="str">
        <x:v>east_africa</x:v>
      </x:c>
      <x:c r="B962" s="30" t="str">
        <x:v>east-africa-broad-draft-1</x:v>
      </x:c>
      <x:c r="C962" s="30" t="n">
        <x:v>14939</x:v>
      </x:c>
      <x:c r="D962" s="32" t="str">
        <x:v>Superb Starling</x:v>
      </x:c>
      <x:c r="E962" s="32" t="str">
        <x:v>Lamprotornis superbus</x:v>
      </x:c>
      <x:c r="F962" s="30" t="str">
        <x:v>common</x:v>
      </x:c>
      <x:c r="G962" s="30" t="str">
        <x:v>standard</x:v>
      </x:c>
      <x:c r="H962" s="30" t="str">
        <x:v>year-round</x:v>
      </x:c>
      <x:c r="I9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3">
      <x:c r="A963" s="36" t="str">
        <x:v>east_africa</x:v>
      </x:c>
      <x:c r="B963" s="30" t="str">
        <x:v>east-africa-broad-draft-1</x:v>
      </x:c>
      <x:c r="C963" s="30" t="n">
        <x:v>201031</x:v>
      </x:c>
      <x:c r="D963" s="32" t="str">
        <x:v>Marabou Stork</x:v>
      </x:c>
      <x:c r="E963" s="32" t="str">
        <x:v>Leptoptilos crumenifer</x:v>
      </x:c>
      <x:c r="F963" s="30" t="str">
        <x:v>common</x:v>
      </x:c>
      <x:c r="G963" s="30" t="str">
        <x:v>standard</x:v>
      </x:c>
      <x:c r="H963" s="30" t="str">
        <x:v>year-round</x:v>
      </x:c>
      <x:c r="I9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4">
      <x:c r="A964" s="36" t="str">
        <x:v>east_africa</x:v>
      </x:c>
      <x:c r="B964" s="30" t="str">
        <x:v>east-africa-broad-draft-1</x:v>
      </x:c>
      <x:c r="C964" s="30" t="n">
        <x:v>72486</x:v>
      </x:c>
      <x:c r="D964" s="32" t="str">
        <x:v>Egyptian Goose</x:v>
      </x:c>
      <x:c r="E964" s="32" t="str">
        <x:v>Alopochen aegyptiaca</x:v>
      </x:c>
      <x:c r="F964" s="30" t="str">
        <x:v>common</x:v>
      </x:c>
      <x:c r="G964" s="30" t="str">
        <x:v>standard</x:v>
      </x:c>
      <x:c r="H964" s="30" t="str">
        <x:v>year-round</x:v>
      </x:c>
      <x:c r="I9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5">
      <x:c r="A965" s="36" t="str">
        <x:v>east_africa</x:v>
      </x:c>
      <x:c r="B965" s="30" t="str">
        <x:v>east-africa-broad-draft-1</x:v>
      </x:c>
      <x:c r="C965" s="30" t="n">
        <x:v>1505670</x:v>
      </x:c>
      <x:c r="D965" s="32" t="str">
        <x:v>African Fish-Eagle</x:v>
      </x:c>
      <x:c r="E965" s="32" t="str">
        <x:v>Icthyophaga vocifer</x:v>
      </x:c>
      <x:c r="F965" s="30" t="str">
        <x:v>common</x:v>
      </x:c>
      <x:c r="G965" s="30" t="str">
        <x:v>standard</x:v>
      </x:c>
      <x:c r="H965" s="30" t="str">
        <x:v>year-round</x:v>
      </x:c>
      <x:c r="I965" s="37" t="str">
        <x:v>Owner-managed east_africa essential checklist; imported from east_africa_checklists.csv. Encounter rarity and prestige are curated game metadata. Automated rarity: inaturalist-regional-frequency-v1.</x:v>
      </x:c>
    </x:row>
    <x:row r="966">
      <x:c r="A966" s="36" t="str">
        <x:v>east_africa</x:v>
      </x:c>
      <x:c r="B966" s="30" t="str">
        <x:v>east-africa-broad-draft-1</x:v>
      </x:c>
      <x:c r="C966" s="30" t="n">
        <x:v>14588</x:v>
      </x:c>
      <x:c r="D966" s="32" t="str">
        <x:v>Common Bulbul</x:v>
      </x:c>
      <x:c r="E966" s="32" t="str">
        <x:v>Pycnonotus barbatus</x:v>
      </x:c>
      <x:c r="F966" s="30" t="str">
        <x:v>common</x:v>
      </x:c>
      <x:c r="G966" s="30" t="str">
        <x:v>standard</x:v>
      </x:c>
      <x:c r="H966" s="30" t="str">
        <x:v>year-round</x:v>
      </x:c>
      <x:c r="I9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7">
      <x:c r="A967" s="36" t="str">
        <x:v>east_africa</x:v>
      </x:c>
      <x:c r="B967" s="30" t="str">
        <x:v>east-africa-broad-draft-1</x:v>
      </x:c>
      <x:c r="C967" s="30" t="n">
        <x:v>2269</x:v>
      </x:c>
      <x:c r="D967" s="32" t="str">
        <x:v>Lilac-breasted Roller</x:v>
      </x:c>
      <x:c r="E967" s="32" t="str">
        <x:v>Coracias caudatus</x:v>
      </x:c>
      <x:c r="F967" s="30" t="str">
        <x:v>common</x:v>
      </x:c>
      <x:c r="G967" s="30" t="str">
        <x:v>standard</x:v>
      </x:c>
      <x:c r="H967" s="30" t="str">
        <x:v>year-round</x:v>
      </x:c>
      <x:c r="I967" s="37" t="str">
        <x:v>Owner-managed east_africa essential checklist; imported from east_africa_checklists.csv. Encounter rarity and prestige are curated game metadata. Automated rarity: inaturalist-regional-frequency-v1.</x:v>
      </x:c>
    </x:row>
    <x:row r="968">
      <x:c r="A968" s="36" t="str">
        <x:v>east_africa</x:v>
      </x:c>
      <x:c r="B968" s="30" t="str">
        <x:v>east-africa-broad-draft-1</x:v>
      </x:c>
      <x:c r="C968" s="30" t="n">
        <x:v>3704</x:v>
      </x:c>
      <x:c r="D968" s="32" t="str">
        <x:v>Speckled Mousebird</x:v>
      </x:c>
      <x:c r="E968" s="32" t="str">
        <x:v>Colius striatus</x:v>
      </x:c>
      <x:c r="F968" s="30" t="str">
        <x:v>common</x:v>
      </x:c>
      <x:c r="G968" s="30" t="str">
        <x:v>standard</x:v>
      </x:c>
      <x:c r="H968" s="30" t="str">
        <x:v>year-round</x:v>
      </x:c>
      <x:c r="I9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69">
      <x:c r="A969" s="36" t="str">
        <x:v>east_africa</x:v>
      </x:c>
      <x:c r="B969" s="30" t="str">
        <x:v>east-africa-broad-draft-1</x:v>
      </x:c>
      <x:c r="C969" s="30" t="n">
        <x:v>53</x:v>
      </x:c>
      <x:c r="D969" s="32" t="str">
        <x:v>Gray Crowned-Crane</x:v>
      </x:c>
      <x:c r="E969" s="32" t="str">
        <x:v>Balearica regulorum</x:v>
      </x:c>
      <x:c r="F969" s="30" t="str">
        <x:v>common</x:v>
      </x:c>
      <x:c r="G969" s="30" t="str">
        <x:v>standard</x:v>
      </x:c>
      <x:c r="H969" s="30" t="str">
        <x:v>year-round</x:v>
      </x:c>
      <x:c r="I969" s="37" t="str">
        <x:v>Owner-managed east_africa essential checklist; imported from east_africa_checklists.csv. Encounter rarity and prestige are curated game metadata. Automated rarity: inaturalist-regional-frequency-v1.</x:v>
      </x:c>
    </x:row>
    <x:row r="970">
      <x:c r="A970" s="36" t="str">
        <x:v>east_africa</x:v>
      </x:c>
      <x:c r="B970" s="30" t="str">
        <x:v>east-africa-broad-draft-1</x:v>
      </x:c>
      <x:c r="C970" s="30" t="n">
        <x:v>4972</x:v>
      </x:c>
      <x:c r="D970" s="32" t="str">
        <x:v>Black-headed Heron</x:v>
      </x:c>
      <x:c r="E970" s="32" t="str">
        <x:v>Ardea melanocephala</x:v>
      </x:c>
      <x:c r="F970" s="30" t="str">
        <x:v>common</x:v>
      </x:c>
      <x:c r="G970" s="30" t="str">
        <x:v>standard</x:v>
      </x:c>
      <x:c r="H970" s="30" t="str">
        <x:v>year-round</x:v>
      </x:c>
      <x:c r="I9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1">
      <x:c r="A971" s="36" t="str">
        <x:v>east_africa</x:v>
      </x:c>
      <x:c r="B971" s="30" t="str">
        <x:v>east-africa-broad-draft-1</x:v>
      </x:c>
      <x:c r="C971" s="30" t="n">
        <x:v>4744</x:v>
      </x:c>
      <x:c r="D971" s="32" t="str">
        <x:v>Yellow-billed Stork</x:v>
      </x:c>
      <x:c r="E971" s="32" t="str">
        <x:v>Mycteria ibis</x:v>
      </x:c>
      <x:c r="F971" s="30" t="str">
        <x:v>common</x:v>
      </x:c>
      <x:c r="G971" s="30" t="str">
        <x:v>standard</x:v>
      </x:c>
      <x:c r="H971" s="30" t="str">
        <x:v>year-round</x:v>
      </x:c>
      <x:c r="I9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2">
      <x:c r="A972" s="36" t="str">
        <x:v>east_africa</x:v>
      </x:c>
      <x:c r="B972" s="30" t="str">
        <x:v>east-africa-broad-draft-1</x:v>
      </x:c>
      <x:c r="C972" s="30" t="n">
        <x:v>3743</x:v>
      </x:c>
      <x:c r="D972" s="32" t="str">
        <x:v>Hadada Ibis</x:v>
      </x:c>
      <x:c r="E972" s="32" t="str">
        <x:v>Bostrychia hagedash</x:v>
      </x:c>
      <x:c r="F972" s="30" t="str">
        <x:v>common</x:v>
      </x:c>
      <x:c r="G972" s="30" t="str">
        <x:v>standard</x:v>
      </x:c>
      <x:c r="H972" s="30" t="str">
        <x:v>year-round</x:v>
      </x:c>
      <x:c r="I9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3">
      <x:c r="A973" s="36" t="str">
        <x:v>east_africa</x:v>
      </x:c>
      <x:c r="B973" s="30" t="str">
        <x:v>east-africa-broad-draft-1</x:v>
      </x:c>
      <x:c r="C973" s="30" t="n">
        <x:v>3739</x:v>
      </x:c>
      <x:c r="D973" s="32" t="str">
        <x:v>African Sacred Ibis</x:v>
      </x:c>
      <x:c r="E973" s="32" t="str">
        <x:v>Threskiornis aethiopicus</x:v>
      </x:c>
      <x:c r="F973" s="30" t="str">
        <x:v>common</x:v>
      </x:c>
      <x:c r="G973" s="30" t="str">
        <x:v>standard</x:v>
      </x:c>
      <x:c r="H973" s="30" t="str">
        <x:v>year-round</x:v>
      </x:c>
      <x:c r="I9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4">
      <x:c r="A974" s="36" t="str">
        <x:v>east_africa</x:v>
      </x:c>
      <x:c r="B974" s="30" t="str">
        <x:v>east-africa-broad-draft-1</x:v>
      </x:c>
      <x:c r="C974" s="30" t="n">
        <x:v>5079</x:v>
      </x:c>
      <x:c r="D974" s="32" t="str">
        <x:v>Tawny Eagle</x:v>
      </x:c>
      <x:c r="E974" s="32" t="str">
        <x:v>Aquila rapax</x:v>
      </x:c>
      <x:c r="F974" s="30" t="str">
        <x:v>common</x:v>
      </x:c>
      <x:c r="G974" s="30" t="str">
        <x:v>standard</x:v>
      </x:c>
      <x:c r="H974" s="30" t="str">
        <x:v>year-round</x:v>
      </x:c>
      <x:c r="I9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5">
      <x:c r="A975" s="36" t="str">
        <x:v>east_africa</x:v>
      </x:c>
      <x:c r="B975" s="30" t="str">
        <x:v>east-africa-broad-draft-1</x:v>
      </x:c>
      <x:c r="C975" s="30" t="n">
        <x:v>5363</x:v>
      </x:c>
      <x:c r="D975" s="32" t="str">
        <x:v>White-backed Vulture</x:v>
      </x:c>
      <x:c r="E975" s="32" t="str">
        <x:v>Gyps africanus</x:v>
      </x:c>
      <x:c r="F975" s="30" t="str">
        <x:v>common</x:v>
      </x:c>
      <x:c r="G975" s="30" t="str">
        <x:v>standard</x:v>
      </x:c>
      <x:c r="H975" s="30" t="str">
        <x:v>year-round</x:v>
      </x:c>
      <x:c r="I9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6">
      <x:c r="A976" s="36" t="str">
        <x:v>east_africa</x:v>
      </x:c>
      <x:c r="B976" s="30" t="str">
        <x:v>east-africa-broad-draft-1</x:v>
      </x:c>
      <x:c r="C976" s="30" t="n">
        <x:v>3834</x:v>
      </x:c>
      <x:c r="D976" s="32" t="str">
        <x:v>Hamerkop</x:v>
      </x:c>
      <x:c r="E976" s="32" t="str">
        <x:v>Scopus umbretta</x:v>
      </x:c>
      <x:c r="F976" s="30" t="str">
        <x:v>common</x:v>
      </x:c>
      <x:c r="G976" s="30" t="str">
        <x:v>standard</x:v>
      </x:c>
      <x:c r="H976" s="30" t="str">
        <x:v>year-round</x:v>
      </x:c>
      <x:c r="I9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7">
      <x:c r="A977" s="36" t="str">
        <x:v>east_africa</x:v>
      </x:c>
      <x:c r="B977" s="30" t="str">
        <x:v>east-africa-broad-draft-1</x:v>
      </x:c>
      <x:c r="C977" s="30" t="n">
        <x:v>13805</x:v>
      </x:c>
      <x:c r="D977" s="32" t="str">
        <x:v>Baglafecht Weaver</x:v>
      </x:c>
      <x:c r="E977" s="32" t="str">
        <x:v>Ploceus baglafecht</x:v>
      </x:c>
      <x:c r="F977" s="30" t="str">
        <x:v>common</x:v>
      </x:c>
      <x:c r="G977" s="30" t="str">
        <x:v>standard</x:v>
      </x:c>
      <x:c r="H977" s="30" t="str">
        <x:v>year-round</x:v>
      </x:c>
      <x:c r="I9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8">
      <x:c r="A978" s="36" t="str">
        <x:v>east_africa</x:v>
      </x:c>
      <x:c r="B978" s="30" t="str">
        <x:v>east-africa-broad-draft-1</x:v>
      </x:c>
      <x:c r="C978" s="30" t="n">
        <x:v>1428</x:v>
      </x:c>
      <x:c r="D978" s="32" t="str">
        <x:v>Helmeted Guineafowl</x:v>
      </x:c>
      <x:c r="E978" s="32" t="str">
        <x:v>Numida meleagris</x:v>
      </x:c>
      <x:c r="F978" s="30" t="str">
        <x:v>common</x:v>
      </x:c>
      <x:c r="G978" s="30" t="str">
        <x:v>standard</x:v>
      </x:c>
      <x:c r="H978" s="30" t="str">
        <x:v>year-round</x:v>
      </x:c>
      <x:c r="I9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79">
      <x:c r="A979" s="36" t="str">
        <x:v>east_africa</x:v>
      </x:c>
      <x:c r="B979" s="30" t="str">
        <x:v>east-africa-broad-draft-1</x:v>
      </x:c>
      <x:c r="C979" s="30" t="n">
        <x:v>13701</x:v>
      </x:c>
      <x:c r="D979" s="32" t="str">
        <x:v>African Pied Wagtail</x:v>
      </x:c>
      <x:c r="E979" s="32" t="str">
        <x:v>Motacilla aguimp</x:v>
      </x:c>
      <x:c r="F979" s="30" t="str">
        <x:v>common</x:v>
      </x:c>
      <x:c r="G979" s="30" t="str">
        <x:v>standard</x:v>
      </x:c>
      <x:c r="H979" s="30" t="str">
        <x:v>year-round</x:v>
      </x:c>
      <x:c r="I9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0">
      <x:c r="A980" s="36" t="str">
        <x:v>east_africa</x:v>
      </x:c>
      <x:c r="B980" s="30" t="str">
        <x:v>east-africa-broad-draft-1</x:v>
      </x:c>
      <x:c r="C980" s="30" t="n">
        <x:v>117214</x:v>
      </x:c>
      <x:c r="D980" s="32" t="str">
        <x:v>Secretarybird</x:v>
      </x:c>
      <x:c r="E980" s="32" t="str">
        <x:v>Sagittarius serpentarius</x:v>
      </x:c>
      <x:c r="F980" s="30" t="str">
        <x:v>common</x:v>
      </x:c>
      <x:c r="G980" s="30" t="str">
        <x:v>standard</x:v>
      </x:c>
      <x:c r="H980" s="30" t="str">
        <x:v>year-round</x:v>
      </x:c>
      <x:c r="I9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1">
      <x:c r="A981" s="36" t="str">
        <x:v>east_africa</x:v>
      </x:c>
      <x:c r="B981" s="30" t="str">
        <x:v>east-africa-broad-draft-1</x:v>
      </x:c>
      <x:c r="C981" s="30" t="n">
        <x:v>204471</x:v>
      </x:c>
      <x:c r="D981" s="32" t="str">
        <x:v>Augur Buzzard</x:v>
      </x:c>
      <x:c r="E981" s="32" t="str">
        <x:v>Buteo augur</x:v>
      </x:c>
      <x:c r="F981" s="30" t="str">
        <x:v>common</x:v>
      </x:c>
      <x:c r="G981" s="30" t="str">
        <x:v>standard</x:v>
      </x:c>
      <x:c r="H981" s="30" t="str">
        <x:v>year-round</x:v>
      </x:c>
      <x:c r="I9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2">
      <x:c r="A982" s="36" t="str">
        <x:v>east_africa</x:v>
      </x:c>
      <x:c r="B982" s="30" t="str">
        <x:v>east-africa-broad-draft-1</x:v>
      </x:c>
      <x:c r="C982" s="30" t="n">
        <x:v>2185</x:v>
      </x:c>
      <x:c r="D982" s="32" t="str">
        <x:v>Little Bee-eater</x:v>
      </x:c>
      <x:c r="E982" s="32" t="str">
        <x:v>Merops pusillus</x:v>
      </x:c>
      <x:c r="F982" s="30" t="str">
        <x:v>common</x:v>
      </x:c>
      <x:c r="G982" s="30" t="str">
        <x:v>standard</x:v>
      </x:c>
      <x:c r="H982" s="30" t="str">
        <x:v>year-round</x:v>
      </x:c>
      <x:c r="I9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3">
      <x:c r="A983" s="36" t="str">
        <x:v>east_africa</x:v>
      </x:c>
      <x:c r="B983" s="30" t="str">
        <x:v>east-africa-broad-draft-1</x:v>
      </x:c>
      <x:c r="C983" s="30" t="n">
        <x:v>411086</x:v>
      </x:c>
      <x:c r="D983" s="32" t="str">
        <x:v>Western Cattle-Egret</x:v>
      </x:c>
      <x:c r="E983" s="32" t="str">
        <x:v>Ardea ibis</x:v>
      </x:c>
      <x:c r="F983" s="30" t="str">
        <x:v>common</x:v>
      </x:c>
      <x:c r="G983" s="30" t="str">
        <x:v>standard</x:v>
      </x:c>
      <x:c r="H983" s="30" t="str">
        <x:v>year-round</x:v>
      </x:c>
      <x:c r="I9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4">
      <x:c r="A984" s="36" t="str">
        <x:v>east_africa</x:v>
      </x:c>
      <x:c r="B984" s="30" t="str">
        <x:v>east-africa-broad-draft-1</x:v>
      </x:c>
      <x:c r="C984" s="30" t="n">
        <x:v>2662</x:v>
      </x:c>
      <x:c r="D984" s="32" t="str">
        <x:v>Pied Kingfisher</x:v>
      </x:c>
      <x:c r="E984" s="32" t="str">
        <x:v>Ceryle rudis</x:v>
      </x:c>
      <x:c r="F984" s="30" t="str">
        <x:v>common</x:v>
      </x:c>
      <x:c r="G984" s="30" t="str">
        <x:v>standard</x:v>
      </x:c>
      <x:c r="H984" s="30" t="str">
        <x:v>year-round</x:v>
      </x:c>
      <x:c r="I9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5">
      <x:c r="A985" s="36" t="str">
        <x:v>east_africa</x:v>
      </x:c>
      <x:c r="B985" s="30" t="str">
        <x:v>east-africa-broad-draft-1</x:v>
      </x:c>
      <x:c r="C985" s="30" t="n">
        <x:v>145188</x:v>
      </x:c>
      <x:c r="D985" s="32" t="str">
        <x:v>Variable Sunbird</x:v>
      </x:c>
      <x:c r="E985" s="32" t="str">
        <x:v>Cinnyris venustus</x:v>
      </x:c>
      <x:c r="F985" s="30" t="str">
        <x:v>common</x:v>
      </x:c>
      <x:c r="G985" s="30" t="str">
        <x:v>standard</x:v>
      </x:c>
      <x:c r="H985" s="30" t="str">
        <x:v>year-round</x:v>
      </x:c>
      <x:c r="I9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6">
      <x:c r="A986" s="36" t="str">
        <x:v>east_africa</x:v>
      </x:c>
      <x:c r="B986" s="30" t="str">
        <x:v>east-africa-broad-draft-1</x:v>
      </x:c>
      <x:c r="C986" s="30" t="n">
        <x:v>4870</x:v>
      </x:c>
      <x:c r="D986" s="32" t="str">
        <x:v>Blacksmith Lapwing</x:v>
      </x:c>
      <x:c r="E986" s="32" t="str">
        <x:v>Vanellus armatus</x:v>
      </x:c>
      <x:c r="F986" s="30" t="str">
        <x:v>common</x:v>
      </x:c>
      <x:c r="G986" s="30" t="str">
        <x:v>standard</x:v>
      </x:c>
      <x:c r="H986" s="30" t="str">
        <x:v>year-round</x:v>
      </x:c>
      <x:c r="I9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7">
      <x:c r="A987" s="36" t="str">
        <x:v>east_africa</x:v>
      </x:c>
      <x:c r="B987" s="30" t="str">
        <x:v>east-africa-broad-draft-1</x:v>
      </x:c>
      <x:c r="C987" s="30" t="n">
        <x:v>4954</x:v>
      </x:c>
      <x:c r="D987" s="32" t="str">
        <x:v>Grey Heron</x:v>
      </x:c>
      <x:c r="E987" s="32" t="str">
        <x:v>Ardea cinerea</x:v>
      </x:c>
      <x:c r="F987" s="30" t="str">
        <x:v>common</x:v>
      </x:c>
      <x:c r="G987" s="30" t="str">
        <x:v>standard</x:v>
      </x:c>
      <x:c r="H987" s="30" t="str">
        <x:v>year-round</x:v>
      </x:c>
      <x:c r="I9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8">
      <x:c r="A988" s="36" t="str">
        <x:v>east_africa</x:v>
      </x:c>
      <x:c r="B988" s="30" t="str">
        <x:v>east-africa-broad-draft-1</x:v>
      </x:c>
      <x:c r="C988" s="30" t="n">
        <x:v>20526</x:v>
      </x:c>
      <x:c r="D988" s="32" t="str">
        <x:v>Common Ostrich</x:v>
      </x:c>
      <x:c r="E988" s="32" t="str">
        <x:v>Struthio camelus</x:v>
      </x:c>
      <x:c r="F988" s="30" t="str">
        <x:v>common</x:v>
      </x:c>
      <x:c r="G988" s="30" t="str">
        <x:v>standard</x:v>
      </x:c>
      <x:c r="H988" s="30" t="str">
        <x:v>year-round</x:v>
      </x:c>
      <x:c r="I9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89">
      <x:c r="A989" s="36" t="str">
        <x:v>east_africa</x:v>
      </x:c>
      <x:c r="B989" s="30" t="str">
        <x:v>east-africa-broad-draft-1</x:v>
      </x:c>
      <x:c r="C989" s="30" t="n">
        <x:v>4327</x:v>
      </x:c>
      <x:c r="D989" s="32" t="str">
        <x:v>Great White Pelican</x:v>
      </x:c>
      <x:c r="E989" s="32" t="str">
        <x:v>Pelecanus onocrotalus</x:v>
      </x:c>
      <x:c r="F989" s="30" t="str">
        <x:v>common</x:v>
      </x:c>
      <x:c r="G989" s="30" t="str">
        <x:v>standard</x:v>
      </x:c>
      <x:c r="H989" s="30" t="str">
        <x:v>year-round</x:v>
      </x:c>
      <x:c r="I9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0">
      <x:c r="A990" s="36" t="str">
        <x:v>east_africa</x:v>
      </x:c>
      <x:c r="B990" s="30" t="str">
        <x:v>east-africa-broad-draft-1</x:v>
      </x:c>
      <x:c r="C990" s="30" t="n">
        <x:v>72967</x:v>
      </x:c>
      <x:c r="D990" s="32" t="str">
        <x:v>Rüppell's Starling</x:v>
      </x:c>
      <x:c r="E990" s="32" t="str">
        <x:v>Lamprotornis purpuroptera</x:v>
      </x:c>
      <x:c r="F990" s="30" t="str">
        <x:v>common</x:v>
      </x:c>
      <x:c r="G990" s="30" t="str">
        <x:v>standard</x:v>
      </x:c>
      <x:c r="H990" s="30" t="str">
        <x:v>year-round</x:v>
      </x:c>
      <x:c r="I9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1">
      <x:c r="A991" s="36" t="str">
        <x:v>east_africa</x:v>
      </x:c>
      <x:c r="B991" s="30" t="str">
        <x:v>east-africa-broad-draft-1</x:v>
      </x:c>
      <x:c r="C991" s="30" t="n">
        <x:v>13796</x:v>
      </x:c>
      <x:c r="D991" s="32" t="str">
        <x:v>Village Weaver</x:v>
      </x:c>
      <x:c r="E991" s="32" t="str">
        <x:v>Ploceus cucullatus</x:v>
      </x:c>
      <x:c r="F991" s="30" t="str">
        <x:v>common</x:v>
      </x:c>
      <x:c r="G991" s="30" t="str">
        <x:v>standard</x:v>
      </x:c>
      <x:c r="H991" s="30" t="str">
        <x:v>year-round</x:v>
      </x:c>
      <x:c r="I9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2">
      <x:c r="A992" s="36" t="str">
        <x:v>east_africa</x:v>
      </x:c>
      <x:c r="B992" s="30" t="str">
        <x:v>east-africa-broad-draft-1</x:v>
      </x:c>
      <x:c r="C992" s="30" t="n">
        <x:v>14051</x:v>
      </x:c>
      <x:c r="D992" s="32" t="str">
        <x:v>Red-billed Firefinch</x:v>
      </x:c>
      <x:c r="E992" s="32" t="str">
        <x:v>Lagonosticta senegala</x:v>
      </x:c>
      <x:c r="F992" s="30" t="str">
        <x:v>common</x:v>
      </x:c>
      <x:c r="G992" s="30" t="str">
        <x:v>standard</x:v>
      </x:c>
      <x:c r="H992" s="30" t="str">
        <x:v>year-round</x:v>
      </x:c>
      <x:c r="I9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3">
      <x:c r="A993" s="36" t="str">
        <x:v>east_africa</x:v>
      </x:c>
      <x:c r="B993" s="30" t="str">
        <x:v>east-africa-broad-draft-1</x:v>
      </x:c>
      <x:c r="C993" s="30" t="n">
        <x:v>4259</x:v>
      </x:c>
      <x:c r="D993" s="32" t="str">
        <x:v>Lesser Flamingo</x:v>
      </x:c>
      <x:c r="E993" s="32" t="str">
        <x:v>Phoeniconaias minor</x:v>
      </x:c>
      <x:c r="F993" s="30" t="str">
        <x:v>common</x:v>
      </x:c>
      <x:c r="G993" s="30" t="str">
        <x:v>standard</x:v>
      </x:c>
      <x:c r="H993" s="30" t="str">
        <x:v>year-round</x:v>
      </x:c>
      <x:c r="I9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4">
      <x:c r="A994" s="36" t="str">
        <x:v>east_africa</x:v>
      </x:c>
      <x:c r="B994" s="30" t="str">
        <x:v>east-africa-broad-draft-1</x:v>
      </x:c>
      <x:c r="C994" s="30" t="n">
        <x:v>2328</x:v>
      </x:c>
      <x:c r="D994" s="32" t="str">
        <x:v>Gray-headed Kingfisher</x:v>
      </x:c>
      <x:c r="E994" s="32" t="str">
        <x:v>Halcyon leucocephala</x:v>
      </x:c>
      <x:c r="F994" s="30" t="str">
        <x:v>common</x:v>
      </x:c>
      <x:c r="G994" s="30" t="str">
        <x:v>standard</x:v>
      </x:c>
      <x:c r="H994" s="30" t="str">
        <x:v>year-round</x:v>
      </x:c>
      <x:c r="I9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5">
      <x:c r="A995" s="36" t="str">
        <x:v>east_africa</x:v>
      </x:c>
      <x:c r="B995" s="30" t="str">
        <x:v>east-africa-broad-draft-1</x:v>
      </x:c>
      <x:c r="C995" s="30" t="n">
        <x:v>14115</x:v>
      </x:c>
      <x:c r="D995" s="32" t="str">
        <x:v>White-browed Sparrow-Weaver</x:v>
      </x:c>
      <x:c r="E995" s="32" t="str">
        <x:v>Plocepasser mahali</x:v>
      </x:c>
      <x:c r="F995" s="30" t="str">
        <x:v>common</x:v>
      </x:c>
      <x:c r="G995" s="30" t="str">
        <x:v>standard</x:v>
      </x:c>
      <x:c r="H995" s="30" t="str">
        <x:v>year-round</x:v>
      </x:c>
      <x:c r="I9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6">
      <x:c r="A996" s="36" t="str">
        <x:v>east_africa</x:v>
      </x:c>
      <x:c r="B996" s="30" t="str">
        <x:v>east-africa-broad-draft-1</x:v>
      </x:c>
      <x:c r="C996" s="30" t="n">
        <x:v>4866</x:v>
      </x:c>
      <x:c r="D996" s="32" t="str">
        <x:v>Spur-winged Lapwing</x:v>
      </x:c>
      <x:c r="E996" s="32" t="str">
        <x:v>Vanellus spinosus</x:v>
      </x:c>
      <x:c r="F996" s="30" t="str">
        <x:v>common</x:v>
      </x:c>
      <x:c r="G996" s="30" t="str">
        <x:v>standard</x:v>
      </x:c>
      <x:c r="H996" s="30" t="str">
        <x:v>year-round</x:v>
      </x:c>
      <x:c r="I9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7">
      <x:c r="A997" s="36" t="str">
        <x:v>east_africa</x:v>
      </x:c>
      <x:c r="B997" s="30" t="str">
        <x:v>east-africa-broad-draft-1</x:v>
      </x:c>
      <x:c r="C997" s="30" t="n">
        <x:v>1630</x:v>
      </x:c>
      <x:c r="D997" s="32" t="str">
        <x:v>White-browed Coucal</x:v>
      </x:c>
      <x:c r="E997" s="32" t="str">
        <x:v>Centropus superciliosus</x:v>
      </x:c>
      <x:c r="F997" s="30" t="str">
        <x:v>common</x:v>
      </x:c>
      <x:c r="G997" s="30" t="str">
        <x:v>standard</x:v>
      </x:c>
      <x:c r="H997" s="30" t="str">
        <x:v>year-round</x:v>
      </x:c>
      <x:c r="I9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8">
      <x:c r="A998" s="36" t="str">
        <x:v>east_africa</x:v>
      </x:c>
      <x:c r="B998" s="30" t="str">
        <x:v>east-africa-broad-draft-1</x:v>
      </x:c>
      <x:c r="C998" s="30" t="n">
        <x:v>327608</x:v>
      </x:c>
      <x:c r="D998" s="32" t="str">
        <x:v>Rüppell's Griffon</x:v>
      </x:c>
      <x:c r="E998" s="32" t="str">
        <x:v>Gyps rueppelli</x:v>
      </x:c>
      <x:c r="F998" s="30" t="str">
        <x:v>common</x:v>
      </x:c>
      <x:c r="G998" s="30" t="str">
        <x:v>standard</x:v>
      </x:c>
      <x:c r="H998" s="30" t="str">
        <x:v>year-round</x:v>
      </x:c>
      <x:c r="I9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999">
      <x:c r="A999" s="36" t="str">
        <x:v>east_africa</x:v>
      </x:c>
      <x:c r="B999" s="30" t="str">
        <x:v>east-africa-broad-draft-1</x:v>
      </x:c>
      <x:c r="C999" s="30" t="n">
        <x:v>5268</x:v>
      </x:c>
      <x:c r="D999" s="32" t="str">
        <x:v>Black Kite</x:v>
      </x:c>
      <x:c r="E999" s="32" t="str">
        <x:v>Milvus migrans</x:v>
      </x:c>
      <x:c r="F999" s="30" t="str">
        <x:v>common</x:v>
      </x:c>
      <x:c r="G999" s="30" t="str">
        <x:v>standard</x:v>
      </x:c>
      <x:c r="H999" s="30" t="str">
        <x:v>year-round</x:v>
      </x:c>
      <x:c r="I9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0">
      <x:c r="A1000" s="36" t="str">
        <x:v>east_africa</x:v>
      </x:c>
      <x:c r="B1000" s="30" t="str">
        <x:v>east-africa-broad-draft-1</x:v>
      </x:c>
      <x:c r="C1000" s="30" t="n">
        <x:v>4585</x:v>
      </x:c>
      <x:c r="D1000" s="32" t="str">
        <x:v>African Jacana</x:v>
      </x:c>
      <x:c r="E1000" s="32" t="str">
        <x:v>Actophilornis africanus</x:v>
      </x:c>
      <x:c r="F1000" s="30" t="str">
        <x:v>common</x:v>
      </x:c>
      <x:c r="G1000" s="30" t="str">
        <x:v>standard</x:v>
      </x:c>
      <x:c r="H1000" s="30" t="str">
        <x:v>year-round</x:v>
      </x:c>
      <x:c r="I10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1">
      <x:c r="A1001" s="36" t="str">
        <x:v>east_africa</x:v>
      </x:c>
      <x:c r="B1001" s="30" t="str">
        <x:v>east-africa-broad-draft-1</x:v>
      </x:c>
      <x:c r="C1001" s="30" t="n">
        <x:v>8038</x:v>
      </x:c>
      <x:c r="D1001" s="32" t="str">
        <x:v>Pied Crow</x:v>
      </x:c>
      <x:c r="E1001" s="32" t="str">
        <x:v>Corvus albus</x:v>
      </x:c>
      <x:c r="F1001" s="30" t="str">
        <x:v>common</x:v>
      </x:c>
      <x:c r="G1001" s="30" t="str">
        <x:v>standard</x:v>
      </x:c>
      <x:c r="H1001" s="30" t="str">
        <x:v>year-round</x:v>
      </x:c>
      <x:c r="I10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2">
      <x:c r="A1002" s="36" t="str">
        <x:v>east_africa</x:v>
      </x:c>
      <x:c r="B1002" s="30" t="str">
        <x:v>east-africa-broad-draft-1</x:v>
      </x:c>
      <x:c r="C1002" s="30" t="n">
        <x:v>558513</x:v>
      </x:c>
      <x:c r="D1002" s="32" t="str">
        <x:v>White-rumped Shrike</x:v>
      </x:c>
      <x:c r="E1002" s="32" t="str">
        <x:v>Eurocephalus ruppelli</x:v>
      </x:c>
      <x:c r="F1002" s="30" t="str">
        <x:v>common</x:v>
      </x:c>
      <x:c r="G1002" s="30" t="str">
        <x:v>standard</x:v>
      </x:c>
      <x:c r="H1002" s="30" t="str">
        <x:v>year-round</x:v>
      </x:c>
      <x:c r="I10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3">
      <x:c r="A1003" s="36" t="str">
        <x:v>east_africa</x:v>
      </x:c>
      <x:c r="B1003" s="30" t="str">
        <x:v>east-africa-broad-draft-1</x:v>
      </x:c>
      <x:c r="C1003" s="30" t="n">
        <x:v>4877</x:v>
      </x:c>
      <x:c r="D1003" s="32" t="str">
        <x:v>Crowned Lapwing</x:v>
      </x:c>
      <x:c r="E1003" s="32" t="str">
        <x:v>Vanellus coronatus</x:v>
      </x:c>
      <x:c r="F1003" s="30" t="str">
        <x:v>common</x:v>
      </x:c>
      <x:c r="G1003" s="30" t="str">
        <x:v>standard</x:v>
      </x:c>
      <x:c r="H1003" s="30" t="str">
        <x:v>year-round</x:v>
      </x:c>
      <x:c r="I10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4">
      <x:c r="A1004" s="36" t="str">
        <x:v>east_africa</x:v>
      </x:c>
      <x:c r="B1004" s="30" t="str">
        <x:v>east-africa-broad-draft-1</x:v>
      </x:c>
      <x:c r="C1004" s="30" t="n">
        <x:v>5401</x:v>
      </x:c>
      <x:c r="D1004" s="32" t="str">
        <x:v>Lappet-faced Vulture</x:v>
      </x:c>
      <x:c r="E1004" s="32" t="str">
        <x:v>Torgos tracheliotos</x:v>
      </x:c>
      <x:c r="F1004" s="30" t="str">
        <x:v>common</x:v>
      </x:c>
      <x:c r="G1004" s="30" t="str">
        <x:v>standard</x:v>
      </x:c>
      <x:c r="H1004" s="30" t="str">
        <x:v>year-round</x:v>
      </x:c>
      <x:c r="I10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5">
      <x:c r="A1005" s="36" t="str">
        <x:v>east_africa</x:v>
      </x:c>
      <x:c r="B1005" s="30" t="str">
        <x:v>east-africa-broad-draft-1</x:v>
      </x:c>
      <x:c r="C1005" s="30" t="n">
        <x:v>14027</x:v>
      </x:c>
      <x:c r="D1005" s="32" t="str">
        <x:v>Red-cheeked Cordonbleu</x:v>
      </x:c>
      <x:c r="E1005" s="32" t="str">
        <x:v>Uraeginthus bengalus</x:v>
      </x:c>
      <x:c r="F1005" s="30" t="str">
        <x:v>common</x:v>
      </x:c>
      <x:c r="G1005" s="30" t="str">
        <x:v>standard</x:v>
      </x:c>
      <x:c r="H1005" s="30" t="str">
        <x:v>year-round</x:v>
      </x:c>
      <x:c r="I10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6">
      <x:c r="A1006" s="36" t="str">
        <x:v>east_africa</x:v>
      </x:c>
      <x:c r="B1006" s="30" t="str">
        <x:v>east-africa-broad-draft-1</x:v>
      </x:c>
      <x:c r="C1006" s="30" t="n">
        <x:v>115</x:v>
      </x:c>
      <x:c r="D1006" s="32" t="str">
        <x:v>Kori Bustard</x:v>
      </x:c>
      <x:c r="E1006" s="32" t="str">
        <x:v>Ardeotis kori</x:v>
      </x:c>
      <x:c r="F1006" s="30" t="str">
        <x:v>common</x:v>
      </x:c>
      <x:c r="G1006" s="30" t="str">
        <x:v>standard</x:v>
      </x:c>
      <x:c r="H1006" s="30" t="str">
        <x:v>year-round</x:v>
      </x:c>
      <x:c r="I10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7">
      <x:c r="A1007" s="36" t="str">
        <x:v>east_africa</x:v>
      </x:c>
      <x:c r="B1007" s="30" t="str">
        <x:v>east-africa-broad-draft-1</x:v>
      </x:c>
      <x:c r="C1007" s="30" t="n">
        <x:v>203820</x:v>
      </x:c>
      <x:c r="D1007" s="32" t="str">
        <x:v>Northern Red-billed Hornbill</x:v>
      </x:c>
      <x:c r="E1007" s="32" t="str">
        <x:v>Tockus erythrorhynchus</x:v>
      </x:c>
      <x:c r="F1007" s="30" t="str">
        <x:v>common</x:v>
      </x:c>
      <x:c r="G1007" s="30" t="str">
        <x:v>standard</x:v>
      </x:c>
      <x:c r="H1007" s="30" t="str">
        <x:v>year-round</x:v>
      </x:c>
      <x:c r="I10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8">
      <x:c r="A1008" s="36" t="str">
        <x:v>east_africa</x:v>
      </x:c>
      <x:c r="B1008" s="30" t="str">
        <x:v>east-africa-broad-draft-1</x:v>
      </x:c>
      <x:c r="C1008" s="30" t="n">
        <x:v>8268</x:v>
      </x:c>
      <x:c r="D1008" s="32" t="str">
        <x:v>Fork-tailed Drongo</x:v>
      </x:c>
      <x:c r="E1008" s="32" t="str">
        <x:v>Dicrurus adsimilis</x:v>
      </x:c>
      <x:c r="F1008" s="30" t="str">
        <x:v>common</x:v>
      </x:c>
      <x:c r="G1008" s="30" t="str">
        <x:v>standard</x:v>
      </x:c>
      <x:c r="H1008" s="30" t="str">
        <x:v>year-round</x:v>
      </x:c>
      <x:c r="I10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09">
      <x:c r="A1009" s="36" t="str">
        <x:v>east_africa</x:v>
      </x:c>
      <x:c r="B1009" s="30" t="str">
        <x:v>east-africa-broad-draft-1</x:v>
      </x:c>
      <x:c r="C1009" s="30" t="n">
        <x:v>5231</x:v>
      </x:c>
      <x:c r="D1009" s="32" t="str">
        <x:v>Bateleur</x:v>
      </x:c>
      <x:c r="E1009" s="32" t="str">
        <x:v>Terathopius ecaudatus</x:v>
      </x:c>
      <x:c r="F1009" s="30" t="str">
        <x:v>common</x:v>
      </x:c>
      <x:c r="G1009" s="30" t="str">
        <x:v>standard</x:v>
      </x:c>
      <x:c r="H1009" s="30" t="str">
        <x:v>year-round</x:v>
      </x:c>
      <x:c r="I10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0">
      <x:c r="A1010" s="36" t="str">
        <x:v>east_africa</x:v>
      </x:c>
      <x:c r="B1010" s="30" t="str">
        <x:v>east-africa-broad-draft-1</x:v>
      </x:c>
      <x:c r="C1010" s="30" t="n">
        <x:v>508246</x:v>
      </x:c>
      <x:c r="D1010" s="32" t="str">
        <x:v>Reed Cormorant</x:v>
      </x:c>
      <x:c r="E1010" s="32" t="str">
        <x:v>Microcarbo africanus</x:v>
      </x:c>
      <x:c r="F1010" s="30" t="str">
        <x:v>common</x:v>
      </x:c>
      <x:c r="G1010" s="30" t="str">
        <x:v>standard</x:v>
      </x:c>
      <x:c r="H1010" s="30" t="str">
        <x:v>year-round</x:v>
      </x:c>
      <x:c r="I10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1">
      <x:c r="A1011" s="36" t="str">
        <x:v>east_africa</x:v>
      </x:c>
      <x:c r="B1011" s="30" t="str">
        <x:v>east-africa-broad-draft-1</x:v>
      </x:c>
      <x:c r="C1011" s="30" t="n">
        <x:v>12050</x:v>
      </x:c>
      <x:c r="D1011" s="32" t="str">
        <x:v>Grey-backed Fiscal</x:v>
      </x:c>
      <x:c r="E1011" s="32" t="str">
        <x:v>Lanius excubitoroides</x:v>
      </x:c>
      <x:c r="F1011" s="30" t="str">
        <x:v>common</x:v>
      </x:c>
      <x:c r="G1011" s="30" t="str">
        <x:v>standard</x:v>
      </x:c>
      <x:c r="H1011" s="30" t="str">
        <x:v>year-round</x:v>
      </x:c>
      <x:c r="I10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2">
      <x:c r="A1012" s="36" t="str">
        <x:v>east_africa</x:v>
      </x:c>
      <x:c r="B1012" s="30" t="str">
        <x:v>east-africa-broad-draft-1</x:v>
      </x:c>
      <x:c r="C1012" s="30" t="n">
        <x:v>4943</x:v>
      </x:c>
      <x:c r="D1012" s="32" t="str">
        <x:v>Little Egret</x:v>
      </x:c>
      <x:c r="E1012" s="32" t="str">
        <x:v>Egretta garzetta</x:v>
      </x:c>
      <x:c r="F1012" s="30" t="str">
        <x:v>common</x:v>
      </x:c>
      <x:c r="G1012" s="30" t="str">
        <x:v>standard</x:v>
      </x:c>
      <x:c r="H1012" s="30" t="str">
        <x:v>year-round</x:v>
      </x:c>
      <x:c r="I10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3">
      <x:c r="A1013" s="36" t="str">
        <x:v>east_africa</x:v>
      </x:c>
      <x:c r="B1013" s="30" t="str">
        <x:v>east-africa-broad-draft-1</x:v>
      </x:c>
      <x:c r="C1013" s="30" t="n">
        <x:v>5483</x:v>
      </x:c>
      <x:c r="D1013" s="32" t="str">
        <x:v>Von der Decken's Hornbill</x:v>
      </x:c>
      <x:c r="E1013" s="32" t="str">
        <x:v>Tockus deckeni</x:v>
      </x:c>
      <x:c r="F1013" s="30" t="str">
        <x:v>common</x:v>
      </x:c>
      <x:c r="G1013" s="30" t="str">
        <x:v>standard</x:v>
      </x:c>
      <x:c r="H1013" s="30" t="str">
        <x:v>year-round</x:v>
      </x:c>
      <x:c r="I10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4">
      <x:c r="A1014" s="36" t="str">
        <x:v>east_africa</x:v>
      </x:c>
      <x:c r="B1014" s="30" t="str">
        <x:v>east-africa-broad-draft-1</x:v>
      </x:c>
      <x:c r="C1014" s="30" t="n">
        <x:v>14087</x:v>
      </x:c>
      <x:c r="D1014" s="32" t="str">
        <x:v>White-headed Buffalo-Weaver</x:v>
      </x:c>
      <x:c r="E1014" s="32" t="str">
        <x:v>Dinemellia dinemelli</x:v>
      </x:c>
      <x:c r="F1014" s="30" t="str">
        <x:v>common</x:v>
      </x:c>
      <x:c r="G1014" s="30" t="str">
        <x:v>standard</x:v>
      </x:c>
      <x:c r="H1014" s="30" t="str">
        <x:v>year-round</x:v>
      </x:c>
      <x:c r="I10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5">
      <x:c r="A1015" s="36" t="str">
        <x:v>east_africa</x:v>
      </x:c>
      <x:c r="B1015" s="30" t="str">
        <x:v>east-africa-broad-draft-1</x:v>
      </x:c>
      <x:c r="C1015" s="30" t="n">
        <x:v>2988</x:v>
      </x:c>
      <x:c r="D1015" s="32" t="str">
        <x:v>Red-eyed Dove</x:v>
      </x:c>
      <x:c r="E1015" s="32" t="str">
        <x:v>Streptopelia semitorquata</x:v>
      </x:c>
      <x:c r="F1015" s="30" t="str">
        <x:v>common</x:v>
      </x:c>
      <x:c r="G1015" s="30" t="str">
        <x:v>standard</x:v>
      </x:c>
      <x:c r="H1015" s="30" t="str">
        <x:v>year-round</x:v>
      </x:c>
      <x:c r="I10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6">
      <x:c r="A1016" s="36" t="str">
        <x:v>east_africa</x:v>
      </x:c>
      <x:c r="B1016" s="30" t="str">
        <x:v>east-africa-broad-draft-1</x:v>
      </x:c>
      <x:c r="C1016" s="30" t="n">
        <x:v>4835</x:v>
      </x:c>
      <x:c r="D1016" s="32" t="str">
        <x:v>Black-winged Stilt</x:v>
      </x:c>
      <x:c r="E1016" s="32" t="str">
        <x:v>Himantopus himantopus</x:v>
      </x:c>
      <x:c r="F1016" s="30" t="str">
        <x:v>common</x:v>
      </x:c>
      <x:c r="G1016" s="30" t="str">
        <x:v>standard</x:v>
      </x:c>
      <x:c r="H1016" s="30" t="str">
        <x:v>year-round</x:v>
      </x:c>
      <x:c r="I10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7">
      <x:c r="A1017" s="36" t="str">
        <x:v>east_africa</x:v>
      </x:c>
      <x:c r="B1017" s="30" t="str">
        <x:v>east-africa-broad-draft-1</x:v>
      </x:c>
      <x:c r="C1017" s="30" t="n">
        <x:v>2959</x:v>
      </x:c>
      <x:c r="D1017" s="32" t="str">
        <x:v>Cape Turtle Dove</x:v>
      </x:c>
      <x:c r="E1017" s="32" t="str">
        <x:v>Streptopelia capicola</x:v>
      </x:c>
      <x:c r="F1017" s="30" t="str">
        <x:v>common</x:v>
      </x:c>
      <x:c r="G1017" s="30" t="str">
        <x:v>standard</x:v>
      </x:c>
      <x:c r="H1017" s="30" t="str">
        <x:v>year-round</x:v>
      </x:c>
      <x:c r="I10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8">
      <x:c r="A1018" s="36" t="str">
        <x:v>east_africa</x:v>
      </x:c>
      <x:c r="B1018" s="30" t="str">
        <x:v>east-africa-broad-draft-1</x:v>
      </x:c>
      <x:c r="C1018" s="30" t="n">
        <x:v>144651</x:v>
      </x:c>
      <x:c r="D1018" s="32" t="str">
        <x:v>Malachite Kingfisher</x:v>
      </x:c>
      <x:c r="E1018" s="32" t="str">
        <x:v>Corythornis cristatus</x:v>
      </x:c>
      <x:c r="F1018" s="30" t="str">
        <x:v>common</x:v>
      </x:c>
      <x:c r="G1018" s="30" t="str">
        <x:v>standard</x:v>
      </x:c>
      <x:c r="H1018" s="30" t="str">
        <x:v>year-round</x:v>
      </x:c>
      <x:c r="I10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19">
      <x:c r="A1019" s="36" t="str">
        <x:v>east_africa</x:v>
      </x:c>
      <x:c r="B1019" s="30" t="str">
        <x:v>east-africa-broad-draft-1</x:v>
      </x:c>
      <x:c r="C1019" s="30" t="n">
        <x:v>201149</x:v>
      </x:c>
      <x:c r="D1019" s="32" t="str">
        <x:v>Northern Fiscal</x:v>
      </x:c>
      <x:c r="E1019" s="32" t="str">
        <x:v>Lanius humeralis</x:v>
      </x:c>
      <x:c r="F1019" s="30" t="str">
        <x:v>common</x:v>
      </x:c>
      <x:c r="G1019" s="30" t="str">
        <x:v>standard</x:v>
      </x:c>
      <x:c r="H1019" s="30" t="str">
        <x:v>year-round</x:v>
      </x:c>
      <x:c r="I10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0">
      <x:c r="A1020" s="36" t="str">
        <x:v>east_africa</x:v>
      </x:c>
      <x:c r="B1020" s="30" t="str">
        <x:v>east-africa-broad-draft-1</x:v>
      </x:c>
      <x:c r="C1020" s="30" t="n">
        <x:v>5335</x:v>
      </x:c>
      <x:c r="D1020" s="32" t="str">
        <x:v>Long-crested Eagle</x:v>
      </x:c>
      <x:c r="E1020" s="32" t="str">
        <x:v>Lophaetus occipitalis</x:v>
      </x:c>
      <x:c r="F1020" s="30" t="str">
        <x:v>common</x:v>
      </x:c>
      <x:c r="G1020" s="30" t="str">
        <x:v>standard</x:v>
      </x:c>
      <x:c r="H1020" s="30" t="str">
        <x:v>year-round</x:v>
      </x:c>
      <x:c r="I10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1">
      <x:c r="A1021" s="36" t="str">
        <x:v>east_africa</x:v>
      </x:c>
      <x:c r="B1021" s="30" t="str">
        <x:v>east-africa-broad-draft-1</x:v>
      </x:c>
      <x:c r="C1021" s="30" t="n">
        <x:v>5344</x:v>
      </x:c>
      <x:c r="D1021" s="32" t="str">
        <x:v>Martial Eagle</x:v>
      </x:c>
      <x:c r="E1021" s="32" t="str">
        <x:v>Polemaetus bellicosus</x:v>
      </x:c>
      <x:c r="F1021" s="30" t="str">
        <x:v>common</x:v>
      </x:c>
      <x:c r="G1021" s="30" t="str">
        <x:v>standard</x:v>
      </x:c>
      <x:c r="H1021" s="30" t="str">
        <x:v>year-round</x:v>
      </x:c>
      <x:c r="I10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2">
      <x:c r="A1022" s="36" t="str">
        <x:v>east_africa</x:v>
      </x:c>
      <x:c r="B1022" s="30" t="str">
        <x:v>east-africa-broad-draft-1</x:v>
      </x:c>
      <x:c r="C1022" s="30" t="n">
        <x:v>3036</x:v>
      </x:c>
      <x:c r="D1022" s="32" t="str">
        <x:v>Speckled Pigeon</x:v>
      </x:c>
      <x:c r="E1022" s="32" t="str">
        <x:v>Columba guinea</x:v>
      </x:c>
      <x:c r="F1022" s="30" t="str">
        <x:v>common</x:v>
      </x:c>
      <x:c r="G1022" s="30" t="str">
        <x:v>standard</x:v>
      </x:c>
      <x:c r="H1022" s="30" t="str">
        <x:v>year-round</x:v>
      </x:c>
      <x:c r="I10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3">
      <x:c r="A1023" s="36" t="str">
        <x:v>east_africa</x:v>
      </x:c>
      <x:c r="B1023" s="30" t="str">
        <x:v>east-africa-broad-draft-1</x:v>
      </x:c>
      <x:c r="C1023" s="30" t="n">
        <x:v>8354</x:v>
      </x:c>
      <x:c r="D1023" s="32" t="str">
        <x:v>African Paradise-Flycatcher</x:v>
      </x:c>
      <x:c r="E1023" s="32" t="str">
        <x:v>Terpsiphone viridis</x:v>
      </x:c>
      <x:c r="F1023" s="30" t="str">
        <x:v>common</x:v>
      </x:c>
      <x:c r="G1023" s="30" t="str">
        <x:v>standard</x:v>
      </x:c>
      <x:c r="H1023" s="30" t="str">
        <x:v>year-round</x:v>
      </x:c>
      <x:c r="I10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4">
      <x:c r="A1024" s="36" t="str">
        <x:v>east_africa</x:v>
      </x:c>
      <x:c r="B1024" s="30" t="str">
        <x:v>east-africa-broad-draft-1</x:v>
      </x:c>
      <x:c r="C1024" s="30" t="n">
        <x:v>144281</x:v>
      </x:c>
      <x:c r="D1024" s="32" t="str">
        <x:v>Southern Ground Hornbill</x:v>
      </x:c>
      <x:c r="E1024" s="32" t="str">
        <x:v>Bucorvus leadbeateri</x:v>
      </x:c>
      <x:c r="F1024" s="30" t="str">
        <x:v>common</x:v>
      </x:c>
      <x:c r="G1024" s="30" t="str">
        <x:v>standard</x:v>
      </x:c>
      <x:c r="H1024" s="30" t="str">
        <x:v>year-round</x:v>
      </x:c>
      <x:c r="I10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5">
      <x:c r="A1025" s="36" t="str">
        <x:v>east_africa</x:v>
      </x:c>
      <x:c r="B1025" s="30" t="str">
        <x:v>east-africa-broad-draft-1</x:v>
      </x:c>
      <x:c r="C1025" s="30" t="n">
        <x:v>13350</x:v>
      </x:c>
      <x:c r="D1025" s="32" t="str">
        <x:v>Bronze Sunbird</x:v>
      </x:c>
      <x:c r="E1025" s="32" t="str">
        <x:v>Nectarinia kilimensis</x:v>
      </x:c>
      <x:c r="F1025" s="30" t="str">
        <x:v>common</x:v>
      </x:c>
      <x:c r="G1025" s="30" t="str">
        <x:v>standard</x:v>
      </x:c>
      <x:c r="H1025" s="30" t="str">
        <x:v>year-round</x:v>
      </x:c>
      <x:c r="I10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6">
      <x:c r="A1026" s="36" t="str">
        <x:v>east_africa</x:v>
      </x:c>
      <x:c r="B1026" s="30" t="str">
        <x:v>east-africa-broad-draft-1</x:v>
      </x:c>
      <x:c r="C1026" s="30" t="n">
        <x:v>12792</x:v>
      </x:c>
      <x:c r="D1026" s="32" t="str">
        <x:v>White-browed Robin-Chat</x:v>
      </x:c>
      <x:c r="E1026" s="32" t="str">
        <x:v>Cossypha heuglini</x:v>
      </x:c>
      <x:c r="F1026" s="30" t="str">
        <x:v>common</x:v>
      </x:c>
      <x:c r="G1026" s="30" t="str">
        <x:v>standard</x:v>
      </x:c>
      <x:c r="H1026" s="30" t="str">
        <x:v>year-round</x:v>
      </x:c>
      <x:c r="I10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7">
      <x:c r="A1027" s="36" t="str">
        <x:v>east_africa</x:v>
      </x:c>
      <x:c r="B1027" s="30" t="str">
        <x:v>east-africa-broad-draft-1</x:v>
      </x:c>
      <x:c r="C1027" s="30" t="n">
        <x:v>145143</x:v>
      </x:c>
      <x:c r="D1027" s="32" t="str">
        <x:v>Scarlet-chested Sunbird</x:v>
      </x:c>
      <x:c r="E1027" s="32" t="str">
        <x:v>Chalcomitra senegalensis</x:v>
      </x:c>
      <x:c r="F1027" s="30" t="str">
        <x:v>common</x:v>
      </x:c>
      <x:c r="G1027" s="30" t="str">
        <x:v>standard</x:v>
      </x:c>
      <x:c r="H1027" s="30" t="str">
        <x:v>year-round</x:v>
      </x:c>
      <x:c r="I10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8">
      <x:c r="A1028" s="36" t="str">
        <x:v>east_africa</x:v>
      </x:c>
      <x:c r="B1028" s="30" t="str">
        <x:v>east-africa-broad-draft-1</x:v>
      </x:c>
      <x:c r="C1028" s="30" t="n">
        <x:v>3734</x:v>
      </x:c>
      <x:c r="D1028" s="32" t="str">
        <x:v>African Spoonbill</x:v>
      </x:c>
      <x:c r="E1028" s="32" t="str">
        <x:v>Platalea alba</x:v>
      </x:c>
      <x:c r="F1028" s="30" t="str">
        <x:v>common</x:v>
      </x:c>
      <x:c r="G1028" s="30" t="str">
        <x:v>standard</x:v>
      </x:c>
      <x:c r="H1028" s="30" t="str">
        <x:v>year-round</x:v>
      </x:c>
      <x:c r="I10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29">
      <x:c r="A1029" s="36" t="str">
        <x:v>east_africa</x:v>
      </x:c>
      <x:c r="B1029" s="30" t="str">
        <x:v>east-africa-broad-draft-1</x:v>
      </x:c>
      <x:c r="C1029" s="30" t="n">
        <x:v>1584479</x:v>
      </x:c>
      <x:c r="D1029" s="32" t="str">
        <x:v>Red-billed Oxpecker</x:v>
      </x:c>
      <x:c r="E1029" s="32" t="str">
        <x:v>Buphagus erythroryncha</x:v>
      </x:c>
      <x:c r="F1029" s="30" t="str">
        <x:v>common</x:v>
      </x:c>
      <x:c r="G1029" s="30" t="str">
        <x:v>standard</x:v>
      </x:c>
      <x:c r="H1029" s="30" t="str">
        <x:v>year-round</x:v>
      </x:c>
      <x:c r="I10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0">
      <x:c r="A1030" s="36" t="str">
        <x:v>east_africa</x:v>
      </x:c>
      <x:c r="B1030" s="30" t="str">
        <x:v>east-africa-broad-draft-1</x:v>
      </x:c>
      <x:c r="C1030" s="30" t="n">
        <x:v>5426</x:v>
      </x:c>
      <x:c r="D1030" s="32" t="str">
        <x:v>Hooded Vulture</x:v>
      </x:c>
      <x:c r="E1030" s="32" t="str">
        <x:v>Necrosyrtes monachus</x:v>
      </x:c>
      <x:c r="F1030" s="30" t="str">
        <x:v>common</x:v>
      </x:c>
      <x:c r="G1030" s="30" t="str">
        <x:v>standard</x:v>
      </x:c>
      <x:c r="H1030" s="30" t="str">
        <x:v>year-round</x:v>
      </x:c>
      <x:c r="I10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1">
      <x:c r="A1031" s="36" t="str">
        <x:v>east_africa</x:v>
      </x:c>
      <x:c r="B1031" s="30" t="str">
        <x:v>east-africa-broad-draft-1</x:v>
      </x:c>
      <x:c r="C1031" s="30" t="n">
        <x:v>73222</x:v>
      </x:c>
      <x:c r="D1031" s="32" t="str">
        <x:v>Greater Flamingo</x:v>
      </x:c>
      <x:c r="E1031" s="32" t="str">
        <x:v>Phoenicopterus roseus</x:v>
      </x:c>
      <x:c r="F1031" s="30" t="str">
        <x:v>common</x:v>
      </x:c>
      <x:c r="G1031" s="30" t="str">
        <x:v>standard</x:v>
      </x:c>
      <x:c r="H1031" s="30" t="str">
        <x:v>year-round</x:v>
      </x:c>
      <x:c r="I10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2">
      <x:c r="A1032" s="36" t="str">
        <x:v>east_africa</x:v>
      </x:c>
      <x:c r="B1032" s="30" t="str">
        <x:v>east-africa-broad-draft-1</x:v>
      </x:c>
      <x:c r="C1032" s="30" t="n">
        <x:v>558619</x:v>
      </x:c>
      <x:c r="D1032" s="32" t="str">
        <x:v>Streaky Seedeater</x:v>
      </x:c>
      <x:c r="E1032" s="32" t="str">
        <x:v>Crithagra striolata</x:v>
      </x:c>
      <x:c r="F1032" s="30" t="str">
        <x:v>common</x:v>
      </x:c>
      <x:c r="G1032" s="30" t="str">
        <x:v>standard</x:v>
      </x:c>
      <x:c r="H1032" s="30" t="str">
        <x:v>year-round</x:v>
      </x:c>
      <x:c r="I10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3">
      <x:c r="A1033" s="36" t="str">
        <x:v>east_africa</x:v>
      </x:c>
      <x:c r="B1033" s="30" t="str">
        <x:v>east-africa-broad-draft-1</x:v>
      </x:c>
      <x:c r="C1033" s="30" t="n">
        <x:v>145018</x:v>
      </x:c>
      <x:c r="D1033" s="32" t="str">
        <x:v>White-eyed Slaty-Flycatcher</x:v>
      </x:c>
      <x:c r="E1033" s="32" t="str">
        <x:v>Melaenornis fischeri</x:v>
      </x:c>
      <x:c r="F1033" s="30" t="str">
        <x:v>common</x:v>
      </x:c>
      <x:c r="G1033" s="30" t="str">
        <x:v>standard</x:v>
      </x:c>
      <x:c r="H1033" s="30" t="str">
        <x:v>year-round</x:v>
      </x:c>
      <x:c r="I10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4">
      <x:c r="A1034" s="36" t="str">
        <x:v>east_africa</x:v>
      </x:c>
      <x:c r="B1034" s="30" t="str">
        <x:v>east-africa-broad-draft-1</x:v>
      </x:c>
      <x:c r="C1034" s="30" t="n">
        <x:v>495989</x:v>
      </x:c>
      <x:c r="D1034" s="32" t="str">
        <x:v>Yellow-necked Spurfowl</x:v>
      </x:c>
      <x:c r="E1034" s="32" t="str">
        <x:v>Pternistis leucoscepus</x:v>
      </x:c>
      <x:c r="F1034" s="30" t="str">
        <x:v>common</x:v>
      </x:c>
      <x:c r="G1034" s="30" t="str">
        <x:v>standard</x:v>
      </x:c>
      <x:c r="H1034" s="30" t="str">
        <x:v>year-round</x:v>
      </x:c>
      <x:c r="I10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5">
      <x:c r="A1035" s="36" t="str">
        <x:v>east_africa</x:v>
      </x:c>
      <x:c r="B1035" s="30" t="str">
        <x:v>east-africa-broad-draft-1</x:v>
      </x:c>
      <x:c r="C1035" s="30" t="n">
        <x:v>1506031</x:v>
      </x:c>
      <x:c r="D1035" s="32" t="str">
        <x:v>White-bellied Go-away-bird</x:v>
      </x:c>
      <x:c r="E1035" s="32" t="str">
        <x:v>Crinifer leucogaster</x:v>
      </x:c>
      <x:c r="F1035" s="30" t="str">
        <x:v>common</x:v>
      </x:c>
      <x:c r="G1035" s="30" t="str">
        <x:v>standard</x:v>
      </x:c>
      <x:c r="H1035" s="30" t="str">
        <x:v>year-round</x:v>
      </x:c>
      <x:c r="I10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6">
      <x:c r="A1036" s="36" t="str">
        <x:v>east_africa</x:v>
      </x:c>
      <x:c r="B1036" s="30" t="str">
        <x:v>east-africa-broad-draft-1</x:v>
      </x:c>
      <x:c r="C1036" s="30" t="n">
        <x:v>13870</x:v>
      </x:c>
      <x:c r="D1036" s="32" t="str">
        <x:v>Northern Grey-headed Sparrow</x:v>
      </x:c>
      <x:c r="E1036" s="32" t="str">
        <x:v>Passer griseus</x:v>
      </x:c>
      <x:c r="F1036" s="30" t="str">
        <x:v>common</x:v>
      </x:c>
      <x:c r="G1036" s="30" t="str">
        <x:v>standard</x:v>
      </x:c>
      <x:c r="H1036" s="30" t="str">
        <x:v>year-round</x:v>
      </x:c>
      <x:c r="I10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7">
      <x:c r="A1037" s="36" t="str">
        <x:v>east_africa</x:v>
      </x:c>
      <x:c r="B1037" s="30" t="str">
        <x:v>east-africa-broad-draft-1</x:v>
      </x:c>
      <x:c r="C1037" s="30" t="n">
        <x:v>4754</x:v>
      </x:c>
      <x:c r="D1037" s="32" t="str">
        <x:v>Saddle-billed Stork</x:v>
      </x:c>
      <x:c r="E1037" s="32" t="str">
        <x:v>Ephippiorhynchus senegalensis</x:v>
      </x:c>
      <x:c r="F1037" s="30" t="str">
        <x:v>common</x:v>
      </x:c>
      <x:c r="G1037" s="30" t="str">
        <x:v>standard</x:v>
      </x:c>
      <x:c r="H1037" s="30" t="str">
        <x:v>year-round</x:v>
      </x:c>
      <x:c r="I10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8">
      <x:c r="A1038" s="36" t="str">
        <x:v>east_africa</x:v>
      </x:c>
      <x:c r="B1038" s="30" t="str">
        <x:v>east-africa-broad-draft-1</x:v>
      </x:c>
      <x:c r="C1038" s="30" t="n">
        <x:v>367700</x:v>
      </x:c>
      <x:c r="D1038" s="32" t="str">
        <x:v>Bronze Mannikin</x:v>
      </x:c>
      <x:c r="E1038" s="32" t="str">
        <x:v>Spermestes cucullata</x:v>
      </x:c>
      <x:c r="F1038" s="30" t="str">
        <x:v>common</x:v>
      </x:c>
      <x:c r="G1038" s="30" t="str">
        <x:v>standard</x:v>
      </x:c>
      <x:c r="H1038" s="30" t="str">
        <x:v>year-round</x:v>
      </x:c>
      <x:c r="I10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39">
      <x:c r="A1039" s="36" t="str">
        <x:v>east_africa</x:v>
      </x:c>
      <x:c r="B1039" s="30" t="str">
        <x:v>east-africa-broad-draft-1</x:v>
      </x:c>
      <x:c r="C1039" s="30" t="n">
        <x:v>5339</x:v>
      </x:c>
      <x:c r="D1039" s="32" t="str">
        <x:v>Eastern Chanting-Goshawk</x:v>
      </x:c>
      <x:c r="E1039" s="32" t="str">
        <x:v>Melierax poliopterus</x:v>
      </x:c>
      <x:c r="F1039" s="30" t="str">
        <x:v>common</x:v>
      </x:c>
      <x:c r="G1039" s="30" t="str">
        <x:v>standard</x:v>
      </x:c>
      <x:c r="H1039" s="30" t="str">
        <x:v>year-round</x:v>
      </x:c>
      <x:c r="I10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0">
      <x:c r="A1040" s="36" t="str">
        <x:v>east_africa</x:v>
      </x:c>
      <x:c r="B1040" s="30" t="str">
        <x:v>east-africa-broad-draft-1</x:v>
      </x:c>
      <x:c r="C1040" s="30" t="n">
        <x:v>144455</x:v>
      </x:c>
      <x:c r="D1040" s="32" t="str">
        <x:v>Great Egret</x:v>
      </x:c>
      <x:c r="E1040" s="32" t="str">
        <x:v>Ardea alba</x:v>
      </x:c>
      <x:c r="F1040" s="30" t="str">
        <x:v>common</x:v>
      </x:c>
      <x:c r="G1040" s="30" t="str">
        <x:v>standard</x:v>
      </x:c>
      <x:c r="H1040" s="30" t="str">
        <x:v>year-round</x:v>
      </x:c>
      <x:c r="I10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1">
      <x:c r="A1041" s="36" t="str">
        <x:v>east_africa</x:v>
      </x:c>
      <x:c r="B1041" s="30" t="str">
        <x:v>east-africa-broad-draft-1</x:v>
      </x:c>
      <x:c r="C1041" s="30" t="n">
        <x:v>116831</x:v>
      </x:c>
      <x:c r="D1041" s="32" t="str">
        <x:v>Yellow-billed Oxpecker</x:v>
      </x:c>
      <x:c r="E1041" s="32" t="str">
        <x:v>Buphagus africanus</x:v>
      </x:c>
      <x:c r="F1041" s="30" t="str">
        <x:v>common</x:v>
      </x:c>
      <x:c r="G1041" s="30" t="str">
        <x:v>standard</x:v>
      </x:c>
      <x:c r="H1041" s="30" t="str">
        <x:v>year-round</x:v>
      </x:c>
      <x:c r="I10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2">
      <x:c r="A1042" s="36" t="str">
        <x:v>east_africa</x:v>
      </x:c>
      <x:c r="B1042" s="30" t="str">
        <x:v>east-africa-broad-draft-1</x:v>
      </x:c>
      <x:c r="C1042" s="30" t="n">
        <x:v>14011</x:v>
      </x:c>
      <x:c r="D1042" s="32" t="str">
        <x:v>Pin-tailed Whydah</x:v>
      </x:c>
      <x:c r="E1042" s="32" t="str">
        <x:v>Vidua macroura</x:v>
      </x:c>
      <x:c r="F1042" s="30" t="str">
        <x:v>common</x:v>
      </x:c>
      <x:c r="G1042" s="30" t="str">
        <x:v>standard</x:v>
      </x:c>
      <x:c r="H1042" s="30" t="str">
        <x:v>year-round</x:v>
      </x:c>
      <x:c r="I10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3">
      <x:c r="A1043" s="36" t="str">
        <x:v>east_africa</x:v>
      </x:c>
      <x:c r="B1043" s="30" t="str">
        <x:v>east-africa-broad-draft-1</x:v>
      </x:c>
      <x:c r="C1043" s="30" t="n">
        <x:v>145081</x:v>
      </x:c>
      <x:c r="D1043" s="32" t="str">
        <x:v>Abyssinian Thrush</x:v>
      </x:c>
      <x:c r="E1043" s="32" t="str">
        <x:v>Turdus abyssinicus</x:v>
      </x:c>
      <x:c r="F1043" s="30" t="str">
        <x:v>common</x:v>
      </x:c>
      <x:c r="G1043" s="30" t="str">
        <x:v>standard</x:v>
      </x:c>
      <x:c r="H1043" s="30" t="str">
        <x:v>year-round</x:v>
      </x:c>
      <x:c r="I10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4">
      <x:c r="A1044" s="36" t="str">
        <x:v>east_africa</x:v>
      </x:c>
      <x:c r="B1044" s="30" t="str">
        <x:v>east-africa-broad-draft-1</x:v>
      </x:c>
      <x:c r="C1044" s="30" t="n">
        <x:v>14923</x:v>
      </x:c>
      <x:c r="D1044" s="32" t="str">
        <x:v>Greater Blue-eared Starling</x:v>
      </x:c>
      <x:c r="E1044" s="32" t="str">
        <x:v>Lamprotornis chalybaeus</x:v>
      </x:c>
      <x:c r="F1044" s="30" t="str">
        <x:v>common</x:v>
      </x:c>
      <x:c r="G1044" s="30" t="str">
        <x:v>standard</x:v>
      </x:c>
      <x:c r="H1044" s="30" t="str">
        <x:v>year-round</x:v>
      </x:c>
      <x:c r="I10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5">
      <x:c r="A1045" s="36" t="str">
        <x:v>east_africa</x:v>
      </x:c>
      <x:c r="B1045" s="30" t="str">
        <x:v>east-africa-broad-draft-1</x:v>
      </x:c>
      <x:c r="C1045" s="30" t="n">
        <x:v>15032</x:v>
      </x:c>
      <x:c r="D1045" s="32" t="str">
        <x:v>Wattled Starling</x:v>
      </x:c>
      <x:c r="E1045" s="32" t="str">
        <x:v>Creatophora cinerea</x:v>
      </x:c>
      <x:c r="F1045" s="30" t="str">
        <x:v>common</x:v>
      </x:c>
      <x:c r="G1045" s="30" t="str">
        <x:v>standard</x:v>
      </x:c>
      <x:c r="H1045" s="30" t="str">
        <x:v>year-round</x:v>
      </x:c>
      <x:c r="I10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6">
      <x:c r="A1046" s="36" t="str">
        <x:v>east_africa</x:v>
      </x:c>
      <x:c r="B1046" s="30" t="str">
        <x:v>east-africa-broad-draft-1</x:v>
      </x:c>
      <x:c r="C1046" s="30" t="n">
        <x:v>13798</x:v>
      </x:c>
      <x:c r="D1046" s="32" t="str">
        <x:v>Speke's Weaver</x:v>
      </x:c>
      <x:c r="E1046" s="32" t="str">
        <x:v>Ploceus spekei</x:v>
      </x:c>
      <x:c r="F1046" s="30" t="str">
        <x:v>common</x:v>
      </x:c>
      <x:c r="G1046" s="30" t="str">
        <x:v>standard</x:v>
      </x:c>
      <x:c r="H1046" s="30" t="str">
        <x:v>year-round</x:v>
      </x:c>
      <x:c r="I10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7">
      <x:c r="A1047" s="36" t="str">
        <x:v>east_africa</x:v>
      </x:c>
      <x:c r="B1047" s="30" t="str">
        <x:v>east-africa-broad-draft-1</x:v>
      </x:c>
      <x:c r="C1047" s="30" t="n">
        <x:v>1455922</x:v>
      </x:c>
      <x:c r="D1047" s="32" t="str">
        <x:v>Laughing Dove</x:v>
      </x:c>
      <x:c r="E1047" s="32" t="str">
        <x:v>Spilopelia senegalensis</x:v>
      </x:c>
      <x:c r="F1047" s="30" t="str">
        <x:v>common</x:v>
      </x:c>
      <x:c r="G1047" s="30" t="str">
        <x:v>standard</x:v>
      </x:c>
      <x:c r="H1047" s="30" t="str">
        <x:v>year-round</x:v>
      </x:c>
      <x:c r="I10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8">
      <x:c r="A1048" s="36" t="str">
        <x:v>east_africa</x:v>
      </x:c>
      <x:c r="B1048" s="30" t="str">
        <x:v>east-africa-broad-draft-1</x:v>
      </x:c>
      <x:c r="C1048" s="30" t="n">
        <x:v>3888</x:v>
      </x:c>
      <x:c r="D1048" s="32" t="str">
        <x:v>Wood Sandpiper</x:v>
      </x:c>
      <x:c r="E1048" s="32" t="str">
        <x:v>Tringa glareola</x:v>
      </x:c>
      <x:c r="F1048" s="30" t="str">
        <x:v>common</x:v>
      </x:c>
      <x:c r="G1048" s="30" t="str">
        <x:v>standard</x:v>
      </x:c>
      <x:c r="H1048" s="30" t="str">
        <x:v>year-round</x:v>
      </x:c>
      <x:c r="I10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49">
      <x:c r="A1049" s="36" t="str">
        <x:v>east_africa</x:v>
      </x:c>
      <x:c r="B1049" s="30" t="str">
        <x:v>east-africa-broad-draft-1</x:v>
      </x:c>
      <x:c r="C1049" s="30" t="n">
        <x:v>4969</x:v>
      </x:c>
      <x:c r="D1049" s="32" t="str">
        <x:v>Goliath Heron</x:v>
      </x:c>
      <x:c r="E1049" s="32" t="str">
        <x:v>Ardea goliath</x:v>
      </x:c>
      <x:c r="F1049" s="30" t="str">
        <x:v>common</x:v>
      </x:c>
      <x:c r="G1049" s="30" t="str">
        <x:v>standard</x:v>
      </x:c>
      <x:c r="H1049" s="30" t="str">
        <x:v>year-round</x:v>
      </x:c>
      <x:c r="I10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0">
      <x:c r="A1050" s="36" t="str">
        <x:v>east_africa</x:v>
      </x:c>
      <x:c r="B1050" s="30" t="str">
        <x:v>east-africa-broad-draft-1</x:v>
      </x:c>
      <x:c r="C1050" s="30" t="n">
        <x:v>495994</x:v>
      </x:c>
      <x:c r="D1050" s="32" t="str">
        <x:v>Red-necked Spurfowl</x:v>
      </x:c>
      <x:c r="E1050" s="32" t="str">
        <x:v>Pternistis afer</x:v>
      </x:c>
      <x:c r="F1050" s="30" t="str">
        <x:v>common</x:v>
      </x:c>
      <x:c r="G1050" s="30" t="str">
        <x:v>standard</x:v>
      </x:c>
      <x:c r="H1050" s="30" t="str">
        <x:v>year-round</x:v>
      </x:c>
      <x:c r="I10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1">
      <x:c r="A1051" s="36" t="str">
        <x:v>east_africa</x:v>
      </x:c>
      <x:c r="B1051" s="30" t="str">
        <x:v>east-africa-broad-draft-1</x:v>
      </x:c>
      <x:c r="C1051" s="30" t="n">
        <x:v>95</x:v>
      </x:c>
      <x:c r="D1051" s="32" t="str">
        <x:v>White-bellied Korhaan</x:v>
      </x:c>
      <x:c r="E1051" s="32" t="str">
        <x:v>Eupodotis senegalensis</x:v>
      </x:c>
      <x:c r="F1051" s="30" t="str">
        <x:v>common</x:v>
      </x:c>
      <x:c r="G1051" s="30" t="str">
        <x:v>standard</x:v>
      </x:c>
      <x:c r="H1051" s="30" t="str">
        <x:v>year-round</x:v>
      </x:c>
      <x:c r="I10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2">
      <x:c r="A1052" s="36" t="str">
        <x:v>east_africa</x:v>
      </x:c>
      <x:c r="B1052" s="30" t="str">
        <x:v>east-africa-broad-draft-1</x:v>
      </x:c>
      <x:c r="C1052" s="30" t="n">
        <x:v>12799</x:v>
      </x:c>
      <x:c r="D1052" s="32" t="str">
        <x:v>African Gray Flycatcher</x:v>
      </x:c>
      <x:c r="E1052" s="32" t="str">
        <x:v>Bradornis microrhynchus</x:v>
      </x:c>
      <x:c r="F1052" s="30" t="str">
        <x:v>common</x:v>
      </x:c>
      <x:c r="G1052" s="30" t="str">
        <x:v>standard</x:v>
      </x:c>
      <x:c r="H1052" s="30" t="str">
        <x:v>year-round</x:v>
      </x:c>
      <x:c r="I10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3">
      <x:c r="A1053" s="36" t="str">
        <x:v>east_africa</x:v>
      </x:c>
      <x:c r="B1053" s="30" t="str">
        <x:v>east-africa-broad-draft-1</x:v>
      </x:c>
      <x:c r="C1053" s="30" t="n">
        <x:v>3978</x:v>
      </x:c>
      <x:c r="D1053" s="32" t="str">
        <x:v>Common Sandpiper</x:v>
      </x:c>
      <x:c r="E1053" s="32" t="str">
        <x:v>Actitis hypoleucos</x:v>
      </x:c>
      <x:c r="F1053" s="30" t="str">
        <x:v>common</x:v>
      </x:c>
      <x:c r="G1053" s="30" t="str">
        <x:v>standard</x:v>
      </x:c>
      <x:c r="H1053" s="30" t="str">
        <x:v>year-round</x:v>
      </x:c>
      <x:c r="I10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4">
      <x:c r="A1054" s="36" t="str">
        <x:v>east_africa</x:v>
      </x:c>
      <x:c r="B1054" s="30" t="str">
        <x:v>east-africa-broad-draft-1</x:v>
      </x:c>
      <x:c r="C1054" s="30" t="n">
        <x:v>2337</x:v>
      </x:c>
      <x:c r="D1054" s="32" t="str">
        <x:v>Woodland Kingfisher</x:v>
      </x:c>
      <x:c r="E1054" s="32" t="str">
        <x:v>Halcyon senegalensis</x:v>
      </x:c>
      <x:c r="F1054" s="30" t="str">
        <x:v>common</x:v>
      </x:c>
      <x:c r="G1054" s="30" t="str">
        <x:v>standard</x:v>
      </x:c>
      <x:c r="H1054" s="30" t="str">
        <x:v>year-round</x:v>
      </x:c>
      <x:c r="I10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5">
      <x:c r="A1055" s="36" t="str">
        <x:v>east_africa</x:v>
      </x:c>
      <x:c r="B1055" s="30" t="str">
        <x:v>east-africa-broad-draft-1</x:v>
      </x:c>
      <x:c r="C1055" s="30" t="n">
        <x:v>5418</x:v>
      </x:c>
      <x:c r="D1055" s="32" t="str">
        <x:v>Palm-nut Vulture</x:v>
      </x:c>
      <x:c r="E1055" s="32" t="str">
        <x:v>Gypohierax angolensis</x:v>
      </x:c>
      <x:c r="F1055" s="30" t="str">
        <x:v>common</x:v>
      </x:c>
      <x:c r="G1055" s="30" t="str">
        <x:v>standard</x:v>
      </x:c>
      <x:c r="H1055" s="30" t="str">
        <x:v>year-round</x:v>
      </x:c>
      <x:c r="I10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6">
      <x:c r="A1056" s="36" t="str">
        <x:v>east_africa</x:v>
      </x:c>
      <x:c r="B1056" s="30" t="str">
        <x:v>east-africa-broad-draft-1</x:v>
      </x:c>
      <x:c r="C1056" s="30" t="n">
        <x:v>4994</x:v>
      </x:c>
      <x:c r="D1056" s="32" t="str">
        <x:v>Squacco Heron</x:v>
      </x:c>
      <x:c r="E1056" s="32" t="str">
        <x:v>Ardeola ralloides</x:v>
      </x:c>
      <x:c r="F1056" s="30" t="str">
        <x:v>common</x:v>
      </x:c>
      <x:c r="G1056" s="30" t="str">
        <x:v>standard</x:v>
      </x:c>
      <x:c r="H1056" s="30" t="str">
        <x:v>year-round</x:v>
      </x:c>
      <x:c r="I10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7">
      <x:c r="A1057" s="36" t="str">
        <x:v>east_africa</x:v>
      </x:c>
      <x:c r="B1057" s="30" t="str">
        <x:v>east-africa-broad-draft-1</x:v>
      </x:c>
      <x:c r="C1057" s="30" t="n">
        <x:v>144795</x:v>
      </x:c>
      <x:c r="D1057" s="32" t="str">
        <x:v>Lesser Striped Swallow</x:v>
      </x:c>
      <x:c r="E1057" s="32" t="str">
        <x:v>Cecropis abyssinica</x:v>
      </x:c>
      <x:c r="F1057" s="30" t="str">
        <x:v>common</x:v>
      </x:c>
      <x:c r="G1057" s="30" t="str">
        <x:v>standard</x:v>
      </x:c>
      <x:c r="H1057" s="30" t="str">
        <x:v>year-round</x:v>
      </x:c>
      <x:c r="I10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8">
      <x:c r="A1058" s="36" t="str">
        <x:v>east_africa</x:v>
      </x:c>
      <x:c r="B1058" s="30" t="str">
        <x:v>east-africa-broad-draft-1</x:v>
      </x:c>
      <x:c r="C1058" s="30" t="n">
        <x:v>4270</x:v>
      </x:c>
      <x:c r="D1058" s="32" t="str">
        <x:v>Great Cormorant</x:v>
      </x:c>
      <x:c r="E1058" s="32" t="str">
        <x:v>Phalacrocorax carbo</x:v>
      </x:c>
      <x:c r="F1058" s="30" t="str">
        <x:v>common</x:v>
      </x:c>
      <x:c r="G1058" s="30" t="str">
        <x:v>standard</x:v>
      </x:c>
      <x:c r="H1058" s="30" t="str">
        <x:v>year-round</x:v>
      </x:c>
      <x:c r="I10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59">
      <x:c r="A1059" s="36" t="str">
        <x:v>east_africa</x:v>
      </x:c>
      <x:c r="B1059" s="30" t="str">
        <x:v>east-africa-broad-draft-1</x:v>
      </x:c>
      <x:c r="C1059" s="30" t="n">
        <x:v>8031</x:v>
      </x:c>
      <x:c r="D1059" s="32" t="str">
        <x:v>House Crow</x:v>
      </x:c>
      <x:c r="E1059" s="32" t="str">
        <x:v>Corvus splendens</x:v>
      </x:c>
      <x:c r="F1059" s="30" t="str">
        <x:v>common</x:v>
      </x:c>
      <x:c r="G1059" s="30" t="str">
        <x:v>standard</x:v>
      </x:c>
      <x:c r="H1059" s="30" t="str">
        <x:v>year-round</x:v>
      </x:c>
      <x:c r="I10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0">
      <x:c r="A1060" s="36" t="str">
        <x:v>east_africa</x:v>
      </x:c>
      <x:c r="B1060" s="30" t="str">
        <x:v>east-africa-broad-draft-1</x:v>
      </x:c>
      <x:c r="C1060" s="30" t="n">
        <x:v>6898</x:v>
      </x:c>
      <x:c r="D1060" s="32" t="str">
        <x:v>White-faced Whistling-Duck</x:v>
      </x:c>
      <x:c r="E1060" s="32" t="str">
        <x:v>Dendrocygna viduata</x:v>
      </x:c>
      <x:c r="F1060" s="30" t="str">
        <x:v>common</x:v>
      </x:c>
      <x:c r="G1060" s="30" t="str">
        <x:v>standard</x:v>
      </x:c>
      <x:c r="H1060" s="30" t="str">
        <x:v>year-round</x:v>
      </x:c>
      <x:c r="I10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1">
      <x:c r="A1061" s="36" t="str">
        <x:v>east_africa</x:v>
      </x:c>
      <x:c r="B1061" s="30" t="str">
        <x:v>east-africa-broad-draft-1</x:v>
      </x:c>
      <x:c r="C1061" s="30" t="n">
        <x:v>145337</x:v>
      </x:c>
      <x:c r="D1061" s="32" t="str">
        <x:v>Purple Grenadier</x:v>
      </x:c>
      <x:c r="E1061" s="32" t="str">
        <x:v>Granatina ianthinogaster</x:v>
      </x:c>
      <x:c r="F1061" s="30" t="str">
        <x:v>common</x:v>
      </x:c>
      <x:c r="G1061" s="30" t="str">
        <x:v>standard</x:v>
      </x:c>
      <x:c r="H1061" s="30" t="str">
        <x:v>year-round</x:v>
      </x:c>
      <x:c r="I10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2">
      <x:c r="A1062" s="36" t="str">
        <x:v>east_africa</x:v>
      </x:c>
      <x:c r="B1062" s="30" t="str">
        <x:v>east-africa-broad-draft-1</x:v>
      </x:c>
      <x:c r="C1062" s="30" t="n">
        <x:v>507912</x:v>
      </x:c>
      <x:c r="D1062" s="32" t="str">
        <x:v>Silvery-cheeked Hornbill</x:v>
      </x:c>
      <x:c r="E1062" s="32" t="str">
        <x:v>Bycanistes brevis</x:v>
      </x:c>
      <x:c r="F1062" s="30" t="str">
        <x:v>common</x:v>
      </x:c>
      <x:c r="G1062" s="30" t="str">
        <x:v>standard</x:v>
      </x:c>
      <x:c r="H1062" s="30" t="str">
        <x:v>year-round</x:v>
      </x:c>
      <x:c r="I10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3">
      <x:c r="A1063" s="36" t="str">
        <x:v>east_africa</x:v>
      </x:c>
      <x:c r="B1063" s="30" t="str">
        <x:v>east-africa-broad-draft-1</x:v>
      </x:c>
      <x:c r="C1063" s="30" t="n">
        <x:v>512166</x:v>
      </x:c>
      <x:c r="D1063" s="32" t="str">
        <x:v>African Gray Hornbill</x:v>
      </x:c>
      <x:c r="E1063" s="32" t="str">
        <x:v>Lophoceros nasutus</x:v>
      </x:c>
      <x:c r="F1063" s="30" t="str">
        <x:v>common</x:v>
      </x:c>
      <x:c r="G1063" s="30" t="str">
        <x:v>standard</x:v>
      </x:c>
      <x:c r="H1063" s="30" t="str">
        <x:v>year-round</x:v>
      </x:c>
      <x:c r="I10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4">
      <x:c r="A1064" s="36" t="str">
        <x:v>east_africa</x:v>
      </x:c>
      <x:c r="B1064" s="30" t="str">
        <x:v>east-africa-broad-draft-1</x:v>
      </x:c>
      <x:c r="C1064" s="30" t="n">
        <x:v>2239</x:v>
      </x:c>
      <x:c r="D1064" s="32" t="str">
        <x:v>Cinnamon-chested Bee-eater</x:v>
      </x:c>
      <x:c r="E1064" s="32" t="str">
        <x:v>Merops oreobates</x:v>
      </x:c>
      <x:c r="F1064" s="30" t="str">
        <x:v>common</x:v>
      </x:c>
      <x:c r="G1064" s="30" t="str">
        <x:v>standard</x:v>
      </x:c>
      <x:c r="H1064" s="30" t="str">
        <x:v>year-round</x:v>
      </x:c>
      <x:c r="I10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5">
      <x:c r="A1065" s="36" t="str">
        <x:v>east_africa</x:v>
      </x:c>
      <x:c r="B1065" s="30" t="str">
        <x:v>east-africa-broad-draft-1</x:v>
      </x:c>
      <x:c r="C1065" s="30" t="n">
        <x:v>1580335</x:v>
      </x:c>
      <x:c r="D1065" s="32" t="str">
        <x:v>Three-banded Plover</x:v>
      </x:c>
      <x:c r="E1065" s="32" t="str">
        <x:v>Thinornis tricollaris</x:v>
      </x:c>
      <x:c r="F1065" s="30" t="str">
        <x:v>common</x:v>
      </x:c>
      <x:c r="G1065" s="30" t="str">
        <x:v>standard</x:v>
      </x:c>
      <x:c r="H1065" s="30" t="str">
        <x:v>year-round</x:v>
      </x:c>
      <x:c r="I10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6">
      <x:c r="A1066" s="36" t="str">
        <x:v>east_africa</x:v>
      </x:c>
      <x:c r="B1066" s="30" t="str">
        <x:v>east-africa-broad-draft-1</x:v>
      </x:c>
      <x:c r="C1066" s="30" t="n">
        <x:v>5275</x:v>
      </x:c>
      <x:c r="D1066" s="32" t="str">
        <x:v>Black-winged Kite</x:v>
      </x:c>
      <x:c r="E1066" s="32" t="str">
        <x:v>Elanus caeruleus</x:v>
      </x:c>
      <x:c r="F1066" s="30" t="str">
        <x:v>common</x:v>
      </x:c>
      <x:c r="G1066" s="30" t="str">
        <x:v>standard</x:v>
      </x:c>
      <x:c r="H1066" s="30" t="str">
        <x:v>year-round</x:v>
      </x:c>
      <x:c r="I10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7">
      <x:c r="A1067" s="36" t="str">
        <x:v>east_africa</x:v>
      </x:c>
      <x:c r="B1067" s="30" t="str">
        <x:v>east-africa-broad-draft-1</x:v>
      </x:c>
      <x:c r="C1067" s="30" t="n">
        <x:v>12048</x:v>
      </x:c>
      <x:c r="D1067" s="32" t="str">
        <x:v>Long-tailed Fiscal</x:v>
      </x:c>
      <x:c r="E1067" s="32" t="str">
        <x:v>Lanius cabanisi</x:v>
      </x:c>
      <x:c r="F1067" s="30" t="str">
        <x:v>common</x:v>
      </x:c>
      <x:c r="G1067" s="30" t="str">
        <x:v>standard</x:v>
      </x:c>
      <x:c r="H1067" s="30" t="str">
        <x:v>year-round</x:v>
      </x:c>
      <x:c r="I10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8">
      <x:c r="A1068" s="36" t="str">
        <x:v>east_africa</x:v>
      </x:c>
      <x:c r="B1068" s="30" t="str">
        <x:v>east-africa-broad-draft-1</x:v>
      </x:c>
      <x:c r="C1068" s="30" t="n">
        <x:v>117130</x:v>
      </x:c>
      <x:c r="D1068" s="32" t="str">
        <x:v>D'Arnaud's Barbet</x:v>
      </x:c>
      <x:c r="E1068" s="32" t="str">
        <x:v>Trachyphonus darnaudii</x:v>
      </x:c>
      <x:c r="F1068" s="30" t="str">
        <x:v>common</x:v>
      </x:c>
      <x:c r="G1068" s="30" t="str">
        <x:v>standard</x:v>
      </x:c>
      <x:c r="H1068" s="30" t="str">
        <x:v>year-round</x:v>
      </x:c>
      <x:c r="I10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69">
      <x:c r="A1069" s="36" t="str">
        <x:v>east_africa</x:v>
      </x:c>
      <x:c r="B1069" s="30" t="str">
        <x:v>east-africa-broad-draft-1</x:v>
      </x:c>
      <x:c r="C1069" s="30" t="n">
        <x:v>72729</x:v>
      </x:c>
      <x:c r="D1069" s="32" t="str">
        <x:v>Rattling Cisticola</x:v>
      </x:c>
      <x:c r="E1069" s="32" t="str">
        <x:v>Cisticola chiniana</x:v>
      </x:c>
      <x:c r="F1069" s="30" t="str">
        <x:v>common</x:v>
      </x:c>
      <x:c r="G1069" s="30" t="str">
        <x:v>standard</x:v>
      </x:c>
      <x:c r="H1069" s="30" t="str">
        <x:v>year-round</x:v>
      </x:c>
      <x:c r="I10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0">
      <x:c r="A1070" s="36" t="str">
        <x:v>east_africa</x:v>
      </x:c>
      <x:c r="B1070" s="30" t="str">
        <x:v>east-africa-broad-draft-1</x:v>
      </x:c>
      <x:c r="C1070" s="30" t="n">
        <x:v>13865</x:v>
      </x:c>
      <x:c r="D1070" s="32" t="str">
        <x:v>Kenya Rufous Sparrow</x:v>
      </x:c>
      <x:c r="E1070" s="32" t="str">
        <x:v>Passer rufocinctus</x:v>
      </x:c>
      <x:c r="F1070" s="30" t="str">
        <x:v>common</x:v>
      </x:c>
      <x:c r="G1070" s="30" t="str">
        <x:v>standard</x:v>
      </x:c>
      <x:c r="H1070" s="30" t="str">
        <x:v>year-round</x:v>
      </x:c>
      <x:c r="I10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1">
      <x:c r="A1071" s="36" t="str">
        <x:v>east_africa</x:v>
      </x:c>
      <x:c r="B1071" s="30" t="str">
        <x:v>east-africa-broad-draft-1</x:v>
      </x:c>
      <x:c r="C1071" s="30" t="n">
        <x:v>1506033</x:v>
      </x:c>
      <x:c r="D1071" s="32" t="str">
        <x:v>Bare-faced Go-away-bird</x:v>
      </x:c>
      <x:c r="E1071" s="32" t="str">
        <x:v>Crinifer personatus</x:v>
      </x:c>
      <x:c r="F1071" s="30" t="str">
        <x:v>common</x:v>
      </x:c>
      <x:c r="G1071" s="30" t="str">
        <x:v>standard</x:v>
      </x:c>
      <x:c r="H1071" s="30" t="str">
        <x:v>year-round</x:v>
      </x:c>
      <x:c r="I10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2">
      <x:c r="A1072" s="36" t="str">
        <x:v>east_africa</x:v>
      </x:c>
      <x:c r="B1072" s="30" t="str">
        <x:v>east-africa-broad-draft-1</x:v>
      </x:c>
      <x:c r="C1072" s="30" t="n">
        <x:v>12978</x:v>
      </x:c>
      <x:c r="D1072" s="32" t="str">
        <x:v>African Dusky Flycatcher</x:v>
      </x:c>
      <x:c r="E1072" s="32" t="str">
        <x:v>Muscicapa adusta</x:v>
      </x:c>
      <x:c r="F1072" s="30" t="str">
        <x:v>common</x:v>
      </x:c>
      <x:c r="G1072" s="30" t="str">
        <x:v>standard</x:v>
      </x:c>
      <x:c r="H1072" s="30" t="str">
        <x:v>year-round</x:v>
      </x:c>
      <x:c r="I10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3">
      <x:c r="A1073" s="36" t="str">
        <x:v>east_africa</x:v>
      </x:c>
      <x:c r="B1073" s="30" t="str">
        <x:v>east-africa-broad-draft-1</x:v>
      </x:c>
      <x:c r="C1073" s="30" t="n">
        <x:v>13858</x:v>
      </x:c>
      <x:c r="D1073" s="32" t="str">
        <x:v>House Sparrow</x:v>
      </x:c>
      <x:c r="E1073" s="32" t="str">
        <x:v>Passer domesticus</x:v>
      </x:c>
      <x:c r="F1073" s="30" t="str">
        <x:v>common</x:v>
      </x:c>
      <x:c r="G1073" s="30" t="str">
        <x:v>standard</x:v>
      </x:c>
      <x:c r="H1073" s="30" t="str">
        <x:v>year-round</x:v>
      </x:c>
      <x:c r="I10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4">
      <x:c r="A1074" s="36" t="str">
        <x:v>east_africa</x:v>
      </x:c>
      <x:c r="B1074" s="30" t="str">
        <x:v>east-africa-broad-draft-1</x:v>
      </x:c>
      <x:c r="C1074" s="30" t="n">
        <x:v>14934</x:v>
      </x:c>
      <x:c r="D1074" s="32" t="str">
        <x:v>Hildebrandt's Starling</x:v>
      </x:c>
      <x:c r="E1074" s="32" t="str">
        <x:v>Lamprotornis hildebrandti</x:v>
      </x:c>
      <x:c r="F1074" s="30" t="str">
        <x:v>common</x:v>
      </x:c>
      <x:c r="G1074" s="30" t="str">
        <x:v>standard</x:v>
      </x:c>
      <x:c r="H1074" s="30" t="str">
        <x:v>year-round</x:v>
      </x:c>
      <x:c r="I10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5">
      <x:c r="A1075" s="36" t="str">
        <x:v>east_africa</x:v>
      </x:c>
      <x:c r="B1075" s="30" t="str">
        <x:v>east-africa-broad-draft-1</x:v>
      </x:c>
      <x:c r="C1075" s="30" t="n">
        <x:v>4926</x:v>
      </x:c>
      <x:c r="D1075" s="32" t="str">
        <x:v>Water Thick-knee</x:v>
      </x:c>
      <x:c r="E1075" s="32" t="str">
        <x:v>Burhinus vermiculatus</x:v>
      </x:c>
      <x:c r="F1075" s="30" t="str">
        <x:v>common</x:v>
      </x:c>
      <x:c r="G1075" s="30" t="str">
        <x:v>standard</x:v>
      </x:c>
      <x:c r="H1075" s="30" t="str">
        <x:v>year-round</x:v>
      </x:c>
      <x:c r="I10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6">
      <x:c r="A1076" s="36" t="str">
        <x:v>east_africa</x:v>
      </x:c>
      <x:c r="B1076" s="30" t="str">
        <x:v>east-africa-broad-draft-1</x:v>
      </x:c>
      <x:c r="C1076" s="30" t="n">
        <x:v>4868</x:v>
      </x:c>
      <x:c r="D1076" s="32" t="str">
        <x:v>Wattled Lapwing</x:v>
      </x:c>
      <x:c r="E1076" s="32" t="str">
        <x:v>Vanellus senegallus</x:v>
      </x:c>
      <x:c r="F1076" s="30" t="str">
        <x:v>common</x:v>
      </x:c>
      <x:c r="G1076" s="30" t="str">
        <x:v>standard</x:v>
      </x:c>
      <x:c r="H1076" s="30" t="str">
        <x:v>year-round</x:v>
      </x:c>
      <x:c r="I10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7">
      <x:c r="A1077" s="36" t="str">
        <x:v>east_africa</x:v>
      </x:c>
      <x:c r="B1077" s="30" t="str">
        <x:v>east-africa-broad-draft-1</x:v>
      </x:c>
      <x:c r="C1077" s="30" t="n">
        <x:v>14104</x:v>
      </x:c>
      <x:c r="D1077" s="32" t="str">
        <x:v>Yellow-throated Longclaw</x:v>
      </x:c>
      <x:c r="E1077" s="32" t="str">
        <x:v>Macronyx croceus</x:v>
      </x:c>
      <x:c r="F1077" s="30" t="str">
        <x:v>common</x:v>
      </x:c>
      <x:c r="G1077" s="30" t="str">
        <x:v>standard</x:v>
      </x:c>
      <x:c r="H1077" s="30" t="str">
        <x:v>year-round</x:v>
      </x:c>
      <x:c r="I10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8">
      <x:c r="A1078" s="36" t="str">
        <x:v>east_africa</x:v>
      </x:c>
      <x:c r="B1078" s="30" t="str">
        <x:v>east-africa-broad-draft-1</x:v>
      </x:c>
      <x:c r="C1078" s="30" t="n">
        <x:v>144472</x:v>
      </x:c>
      <x:c r="D1078" s="32" t="str">
        <x:v>Black-bellied Bustard</x:v>
      </x:c>
      <x:c r="E1078" s="32" t="str">
        <x:v>Lissotis melanogaster</x:v>
      </x:c>
      <x:c r="F1078" s="30" t="str">
        <x:v>common</x:v>
      </x:c>
      <x:c r="G1078" s="30" t="str">
        <x:v>standard</x:v>
      </x:c>
      <x:c r="H1078" s="30" t="str">
        <x:v>year-round</x:v>
      </x:c>
      <x:c r="I10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79">
      <x:c r="A1079" s="36" t="str">
        <x:v>east_africa</x:v>
      </x:c>
      <x:c r="B1079" s="30" t="str">
        <x:v>east-africa-broad-draft-1</x:v>
      </x:c>
      <x:c r="C1079" s="30" t="n">
        <x:v>5246</x:v>
      </x:c>
      <x:c r="D1079" s="32" t="str">
        <x:v>African Harrier-Hawk</x:v>
      </x:c>
      <x:c r="E1079" s="32" t="str">
        <x:v>Polyboroides typus</x:v>
      </x:c>
      <x:c r="F1079" s="30" t="str">
        <x:v>common</x:v>
      </x:c>
      <x:c r="G1079" s="30" t="str">
        <x:v>standard</x:v>
      </x:c>
      <x:c r="H1079" s="30" t="str">
        <x:v>year-round</x:v>
      </x:c>
      <x:c r="I10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0">
      <x:c r="A1080" s="36" t="str">
        <x:v>east_africa</x:v>
      </x:c>
      <x:c r="B1080" s="30" t="str">
        <x:v>east-africa-broad-draft-1</x:v>
      </x:c>
      <x:c r="C1080" s="30" t="n">
        <x:v>2951</x:v>
      </x:c>
      <x:c r="D1080" s="32" t="str">
        <x:v>Mourning Collared Dove</x:v>
      </x:c>
      <x:c r="E1080" s="32" t="str">
        <x:v>Streptopelia decipiens</x:v>
      </x:c>
      <x:c r="F1080" s="30" t="str">
        <x:v>common</x:v>
      </x:c>
      <x:c r="G1080" s="30" t="str">
        <x:v>standard</x:v>
      </x:c>
      <x:c r="H1080" s="30" t="str">
        <x:v>year-round</x:v>
      </x:c>
      <x:c r="I10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1">
      <x:c r="A1081" s="36" t="str">
        <x:v>east_africa</x:v>
      </x:c>
      <x:c r="B1081" s="30" t="str">
        <x:v>east-africa-broad-draft-1</x:v>
      </x:c>
      <x:c r="C1081" s="30" t="n">
        <x:v>4776</x:v>
      </x:c>
      <x:c r="D1081" s="32" t="str">
        <x:v>African Openbill</x:v>
      </x:c>
      <x:c r="E1081" s="32" t="str">
        <x:v>Anastomus lamelligerus</x:v>
      </x:c>
      <x:c r="F1081" s="30" t="str">
        <x:v>common</x:v>
      </x:c>
      <x:c r="G1081" s="30" t="str">
        <x:v>standard</x:v>
      </x:c>
      <x:c r="H1081" s="30" t="str">
        <x:v>year-round</x:v>
      </x:c>
      <x:c r="I10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2">
      <x:c r="A1082" s="36" t="str">
        <x:v>east_africa</x:v>
      </x:c>
      <x:c r="B1082" s="30" t="str">
        <x:v>east-africa-broad-draft-1</x:v>
      </x:c>
      <x:c r="C1082" s="30" t="n">
        <x:v>1572860</x:v>
      </x:c>
      <x:c r="D1082" s="32" t="str">
        <x:v>Rufous-naped Lark</x:v>
      </x:c>
      <x:c r="E1082" s="32" t="str">
        <x:v>Corypha africana</x:v>
      </x:c>
      <x:c r="F1082" s="30" t="str">
        <x:v>common</x:v>
      </x:c>
      <x:c r="G1082" s="30" t="str">
        <x:v>standard</x:v>
      </x:c>
      <x:c r="H1082" s="30" t="str">
        <x:v>year-round</x:v>
      </x:c>
      <x:c r="I10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3">
      <x:c r="A1083" s="36" t="str">
        <x:v>east_africa</x:v>
      </x:c>
      <x:c r="B1083" s="30" t="str">
        <x:v>east-africa-broad-draft-1</x:v>
      </x:c>
      <x:c r="C1083" s="30" t="n">
        <x:v>145122</x:v>
      </x:c>
      <x:c r="D1083" s="32" t="str">
        <x:v>Collared Sunbird</x:v>
      </x:c>
      <x:c r="E1083" s="32" t="str">
        <x:v>Hedydipna collaris</x:v>
      </x:c>
      <x:c r="F1083" s="30" t="str">
        <x:v>common</x:v>
      </x:c>
      <x:c r="G1083" s="30" t="str">
        <x:v>standard</x:v>
      </x:c>
      <x:c r="H1083" s="30" t="str">
        <x:v>year-round</x:v>
      </x:c>
      <x:c r="I10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4">
      <x:c r="A1084" s="36" t="str">
        <x:v>east_africa</x:v>
      </x:c>
      <x:c r="B1084" s="30" t="str">
        <x:v>east-africa-broad-draft-1</x:v>
      </x:c>
      <x:c r="C1084" s="30" t="n">
        <x:v>4335</x:v>
      </x:c>
      <x:c r="D1084" s="32" t="str">
        <x:v>Pink-backed Pelican</x:v>
      </x:c>
      <x:c r="E1084" s="32" t="str">
        <x:v>Pelecanus rufescens</x:v>
      </x:c>
      <x:c r="F1084" s="30" t="str">
        <x:v>common</x:v>
      </x:c>
      <x:c r="G1084" s="30" t="str">
        <x:v>standard</x:v>
      </x:c>
      <x:c r="H1084" s="30" t="str">
        <x:v>year-round</x:v>
      </x:c>
      <x:c r="I10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5">
      <x:c r="A1085" s="36" t="str">
        <x:v>east_africa</x:v>
      </x:c>
      <x:c r="B1085" s="30" t="str">
        <x:v>east-africa-broad-draft-1</x:v>
      </x:c>
      <x:c r="C1085" s="30" t="n">
        <x:v>339593</x:v>
      </x:c>
      <x:c r="D1085" s="32" t="str">
        <x:v>Ruff</x:v>
      </x:c>
      <x:c r="E1085" s="32" t="str">
        <x:v>Calidris pugnax</x:v>
      </x:c>
      <x:c r="F1085" s="30" t="str">
        <x:v>common</x:v>
      </x:c>
      <x:c r="G1085" s="30" t="str">
        <x:v>standard</x:v>
      </x:c>
      <x:c r="H1085" s="30" t="str">
        <x:v>year-round</x:v>
      </x:c>
      <x:c r="I10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6">
      <x:c r="A1086" s="36" t="str">
        <x:v>east_africa</x:v>
      </x:c>
      <x:c r="B1086" s="30" t="str">
        <x:v>east-africa-broad-draft-1</x:v>
      </x:c>
      <x:c r="C1086" s="30" t="n">
        <x:v>4862</x:v>
      </x:c>
      <x:c r="D1086" s="32" t="str">
        <x:v>Long-toed Lapwing</x:v>
      </x:c>
      <x:c r="E1086" s="32" t="str">
        <x:v>Vanellus crassirostris</x:v>
      </x:c>
      <x:c r="F1086" s="30" t="str">
        <x:v>common</x:v>
      </x:c>
      <x:c r="G1086" s="30" t="str">
        <x:v>standard</x:v>
      </x:c>
      <x:c r="H1086" s="30" t="str">
        <x:v>year-round</x:v>
      </x:c>
      <x:c r="I10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7">
      <x:c r="A1087" s="36" t="str">
        <x:v>east_africa</x:v>
      </x:c>
      <x:c r="B1087" s="30" t="str">
        <x:v>east-africa-broad-draft-1</x:v>
      </x:c>
      <x:c r="C1087" s="30" t="n">
        <x:v>145332</x:v>
      </x:c>
      <x:c r="D1087" s="32" t="str">
        <x:v>Rufous-tailed Weaver</x:v>
      </x:c>
      <x:c r="E1087" s="32" t="str">
        <x:v>Histurgops ruficauda</x:v>
      </x:c>
      <x:c r="F1087" s="30" t="str">
        <x:v>common</x:v>
      </x:c>
      <x:c r="G1087" s="30" t="str">
        <x:v>standard</x:v>
      </x:c>
      <x:c r="H1087" s="30" t="str">
        <x:v>year-round</x:v>
      </x:c>
      <x:c r="I10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8">
      <x:c r="A1088" s="36" t="str">
        <x:v>east_africa</x:v>
      </x:c>
      <x:c r="B1088" s="30" t="str">
        <x:v>east-africa-broad-draft-1</x:v>
      </x:c>
      <x:c r="C1088" s="30" t="n">
        <x:v>11896</x:v>
      </x:c>
      <x:c r="D1088" s="32" t="str">
        <x:v>Wire-tailed Swallow</x:v>
      </x:c>
      <x:c r="E1088" s="32" t="str">
        <x:v>Hirundo smithii</x:v>
      </x:c>
      <x:c r="F1088" s="30" t="str">
        <x:v>common</x:v>
      </x:c>
      <x:c r="G1088" s="30" t="str">
        <x:v>standard</x:v>
      </x:c>
      <x:c r="H1088" s="30" t="str">
        <x:v>year-round</x:v>
      </x:c>
      <x:c r="I10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89">
      <x:c r="A1089" s="36" t="str">
        <x:v>east_africa</x:v>
      </x:c>
      <x:c r="B1089" s="30" t="str">
        <x:v>east-africa-broad-draft-1</x:v>
      </x:c>
      <x:c r="C1089" s="30" t="n">
        <x:v>508918</x:v>
      </x:c>
      <x:c r="D1089" s="32" t="str">
        <x:v>Black Crake</x:v>
      </x:c>
      <x:c r="E1089" s="32" t="str">
        <x:v>Zapornia flavirostra</x:v>
      </x:c>
      <x:c r="F1089" s="30" t="str">
        <x:v>common</x:v>
      </x:c>
      <x:c r="G1089" s="30" t="str">
        <x:v>standard</x:v>
      </x:c>
      <x:c r="H1089" s="30" t="str">
        <x:v>year-round</x:v>
      </x:c>
      <x:c r="I10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0">
      <x:c r="A1090" s="36" t="str">
        <x:v>east_africa</x:v>
      </x:c>
      <x:c r="B1090" s="30" t="str">
        <x:v>east-africa-broad-draft-1</x:v>
      </x:c>
      <x:c r="C1090" s="30" t="n">
        <x:v>1449</x:v>
      </x:c>
      <x:c r="D1090" s="32" t="str">
        <x:v>Vulturine Guineafowl</x:v>
      </x:c>
      <x:c r="E1090" s="32" t="str">
        <x:v>Acryllium vulturinum</x:v>
      </x:c>
      <x:c r="F1090" s="30" t="str">
        <x:v>common</x:v>
      </x:c>
      <x:c r="G1090" s="30" t="str">
        <x:v>standard</x:v>
      </x:c>
      <x:c r="H1090" s="30" t="str">
        <x:v>year-round</x:v>
      </x:c>
      <x:c r="I10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1">
      <x:c r="A1091" s="36" t="str">
        <x:v>east_africa</x:v>
      </x:c>
      <x:c r="B1091" s="30" t="str">
        <x:v>east-africa-broad-draft-1</x:v>
      </x:c>
      <x:c r="C1091" s="30" t="n">
        <x:v>3838</x:v>
      </x:c>
      <x:c r="D1091" s="32" t="str">
        <x:v>Little Stint</x:v>
      </x:c>
      <x:c r="E1091" s="32" t="str">
        <x:v>Calidris minuta</x:v>
      </x:c>
      <x:c r="F1091" s="30" t="str">
        <x:v>common</x:v>
      </x:c>
      <x:c r="G1091" s="30" t="str">
        <x:v>standard</x:v>
      </x:c>
      <x:c r="H1091" s="30" t="str">
        <x:v>year-round</x:v>
      </x:c>
      <x:c r="I10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2">
      <x:c r="A1092" s="36" t="str">
        <x:v>east_africa</x:v>
      </x:c>
      <x:c r="B1092" s="30" t="str">
        <x:v>east-africa-broad-draft-1</x:v>
      </x:c>
      <x:c r="C1092" s="30" t="n">
        <x:v>1289692</x:v>
      </x:c>
      <x:c r="D1092" s="32" t="str">
        <x:v>Crested Francolin</x:v>
      </x:c>
      <x:c r="E1092" s="32" t="str">
        <x:v>Ortygornis sephaena</x:v>
      </x:c>
      <x:c r="F1092" s="30" t="str">
        <x:v>common</x:v>
      </x:c>
      <x:c r="G1092" s="30" t="str">
        <x:v>standard</x:v>
      </x:c>
      <x:c r="H1092" s="30" t="str">
        <x:v>year-round</x:v>
      </x:c>
      <x:c r="I10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3">
      <x:c r="A1093" s="36" t="str">
        <x:v>east_africa</x:v>
      </x:c>
      <x:c r="B1093" s="30" t="str">
        <x:v>east-africa-broad-draft-1</x:v>
      </x:c>
      <x:c r="C1093" s="30" t="n">
        <x:v>13872</x:v>
      </x:c>
      <x:c r="D1093" s="32" t="str">
        <x:v>Gray-capped Social-Weaver</x:v>
      </x:c>
      <x:c r="E1093" s="32" t="str">
        <x:v>Pseudonigrita arnaudi</x:v>
      </x:c>
      <x:c r="F1093" s="30" t="str">
        <x:v>common</x:v>
      </x:c>
      <x:c r="G1093" s="30" t="str">
        <x:v>standard</x:v>
      </x:c>
      <x:c r="H1093" s="30" t="str">
        <x:v>year-round</x:v>
      </x:c>
      <x:c r="I10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4">
      <x:c r="A1094" s="36" t="str">
        <x:v>east_africa</x:v>
      </x:c>
      <x:c r="B1094" s="30" t="str">
        <x:v>east-africa-broad-draft-1</x:v>
      </x:c>
      <x:c r="C1094" s="30" t="n">
        <x:v>5241</x:v>
      </x:c>
      <x:c r="D1094" s="32" t="str">
        <x:v>Brown Snake-Eagle</x:v>
      </x:c>
      <x:c r="E1094" s="32" t="str">
        <x:v>Circaetus cinereus</x:v>
      </x:c>
      <x:c r="F1094" s="30" t="str">
        <x:v>common</x:v>
      </x:c>
      <x:c r="G1094" s="30" t="str">
        <x:v>standard</x:v>
      </x:c>
      <x:c r="H1094" s="30" t="str">
        <x:v>year-round</x:v>
      </x:c>
      <x:c r="I10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5">
      <x:c r="A1095" s="36" t="str">
        <x:v>east_africa</x:v>
      </x:c>
      <x:c r="B1095" s="30" t="str">
        <x:v>east-africa-broad-draft-1</x:v>
      </x:c>
      <x:c r="C1095" s="30" t="n">
        <x:v>14005</x:v>
      </x:c>
      <x:c r="D1095" s="32" t="str">
        <x:v>Red-billed Quelea</x:v>
      </x:c>
      <x:c r="E1095" s="32" t="str">
        <x:v>Quelea quelea</x:v>
      </x:c>
      <x:c r="F1095" s="30" t="str">
        <x:v>common</x:v>
      </x:c>
      <x:c r="G1095" s="30" t="str">
        <x:v>standard</x:v>
      </x:c>
      <x:c r="H1095" s="30" t="str">
        <x:v>year-round</x:v>
      </x:c>
      <x:c r="I10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6">
      <x:c r="A1096" s="36" t="str">
        <x:v>east_africa</x:v>
      </x:c>
      <x:c r="B1096" s="30" t="str">
        <x:v>east-africa-broad-draft-1</x:v>
      </x:c>
      <x:c r="C1096" s="30" t="n">
        <x:v>5340</x:v>
      </x:c>
      <x:c r="D1096" s="32" t="str">
        <x:v>Dark Chanting-Goshawk</x:v>
      </x:c>
      <x:c r="E1096" s="32" t="str">
        <x:v>Melierax metabates</x:v>
      </x:c>
      <x:c r="F1096" s="30" t="str">
        <x:v>common</x:v>
      </x:c>
      <x:c r="G1096" s="30" t="str">
        <x:v>standard</x:v>
      </x:c>
      <x:c r="H1096" s="30" t="str">
        <x:v>year-round</x:v>
      </x:c>
      <x:c r="I10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7">
      <x:c r="A1097" s="36" t="str">
        <x:v>east_africa</x:v>
      </x:c>
      <x:c r="B1097" s="30" t="str">
        <x:v>east-africa-broad-draft-1</x:v>
      </x:c>
      <x:c r="C1097" s="30" t="n">
        <x:v>1441745</x:v>
      </x:c>
      <x:c r="D1097" s="32" t="str">
        <x:v>Verreaux's Eagle-Owl</x:v>
      </x:c>
      <x:c r="E1097" s="32" t="str">
        <x:v>Ketupa lactea</x:v>
      </x:c>
      <x:c r="F1097" s="30" t="str">
        <x:v>common</x:v>
      </x:c>
      <x:c r="G1097" s="30" t="str">
        <x:v>standard</x:v>
      </x:c>
      <x:c r="H1097" s="30" t="str">
        <x:v>year-round</x:v>
      </x:c>
      <x:c r="I10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8">
      <x:c r="A1098" s="36" t="str">
        <x:v>east_africa</x:v>
      </x:c>
      <x:c r="B1098" s="30" t="str">
        <x:v>east-africa-broad-draft-1</x:v>
      </x:c>
      <x:c r="C1098" s="30" t="n">
        <x:v>979641</x:v>
      </x:c>
      <x:c r="D1098" s="32" t="str">
        <x:v>Green-backed Camaroptera</x:v>
      </x:c>
      <x:c r="E1098" s="32" t="str">
        <x:v>Camaroptera brachyura</x:v>
      </x:c>
      <x:c r="F1098" s="30" t="str">
        <x:v>common</x:v>
      </x:c>
      <x:c r="G1098" s="30" t="str">
        <x:v>standard</x:v>
      </x:c>
      <x:c r="H1098" s="30" t="str">
        <x:v>year-round</x:v>
      </x:c>
      <x:c r="I10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099">
      <x:c r="A1099" s="36" t="str">
        <x:v>east_africa</x:v>
      </x:c>
      <x:c r="B1099" s="30" t="str">
        <x:v>east-africa-broad-draft-1</x:v>
      </x:c>
      <x:c r="C1099" s="30" t="n">
        <x:v>7372</x:v>
      </x:c>
      <x:c r="D1099" s="32" t="str">
        <x:v>Fischer's Sparrow-Lark</x:v>
      </x:c>
      <x:c r="E1099" s="32" t="str">
        <x:v>Eremopterix leucopareia</x:v>
      </x:c>
      <x:c r="F1099" s="30" t="str">
        <x:v>common</x:v>
      </x:c>
      <x:c r="G1099" s="30" t="str">
        <x:v>standard</x:v>
      </x:c>
      <x:c r="H1099" s="30" t="str">
        <x:v>year-round</x:v>
      </x:c>
      <x:c r="I10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0">
      <x:c r="A1100" s="36" t="str">
        <x:v>east_africa</x:v>
      </x:c>
      <x:c r="B1100" s="30" t="str">
        <x:v>east-africa-broad-draft-1</x:v>
      </x:c>
      <x:c r="C1100" s="30" t="n">
        <x:v>2240</x:v>
      </x:c>
      <x:c r="D1100" s="32" t="str">
        <x:v>White-throated Bee-eater</x:v>
      </x:c>
      <x:c r="E1100" s="32" t="str">
        <x:v>Merops albicollis</x:v>
      </x:c>
      <x:c r="F1100" s="30" t="str">
        <x:v>common</x:v>
      </x:c>
      <x:c r="G1100" s="30" t="str">
        <x:v>standard</x:v>
      </x:c>
      <x:c r="H1100" s="30" t="str">
        <x:v>year-round</x:v>
      </x:c>
      <x:c r="I11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1">
      <x:c r="A1101" s="36" t="str">
        <x:v>east_africa</x:v>
      </x:c>
      <x:c r="B1101" s="30" t="str">
        <x:v>east-africa-broad-draft-1</x:v>
      </x:c>
      <x:c r="C1101" s="30" t="n">
        <x:v>507916</x:v>
      </x:c>
      <x:c r="D1101" s="32" t="str">
        <x:v>Black-and-white-casqued Hornbill</x:v>
      </x:c>
      <x:c r="E1101" s="32" t="str">
        <x:v>Bycanistes subcylindricus</x:v>
      </x:c>
      <x:c r="F1101" s="30" t="str">
        <x:v>common</x:v>
      </x:c>
      <x:c r="G1101" s="30" t="str">
        <x:v>standard</x:v>
      </x:c>
      <x:c r="H1101" s="30" t="str">
        <x:v>year-round</x:v>
      </x:c>
      <x:c r="I11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2">
      <x:c r="A1102" s="36" t="str">
        <x:v>east_africa</x:v>
      </x:c>
      <x:c r="B1102" s="30" t="str">
        <x:v>east-africa-broad-draft-1</x:v>
      </x:c>
      <x:c r="C1102" s="30" t="n">
        <x:v>117131</x:v>
      </x:c>
      <x:c r="D1102" s="32" t="str">
        <x:v>Red-and-yellow Barbet</x:v>
      </x:c>
      <x:c r="E1102" s="32" t="str">
        <x:v>Trachyphonus erythrocephalus</x:v>
      </x:c>
      <x:c r="F1102" s="30" t="str">
        <x:v>common</x:v>
      </x:c>
      <x:c r="G1102" s="30" t="str">
        <x:v>standard</x:v>
      </x:c>
      <x:c r="H1102" s="30" t="str">
        <x:v>year-round</x:v>
      </x:c>
      <x:c r="I11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3">
      <x:c r="A1103" s="36" t="str">
        <x:v>east_africa</x:v>
      </x:c>
      <x:c r="B1103" s="30" t="str">
        <x:v>east-africa-broad-draft-1</x:v>
      </x:c>
      <x:c r="C1103" s="30" t="n">
        <x:v>144508</x:v>
      </x:c>
      <x:c r="D1103" s="32" t="str">
        <x:v>Gray-hooded Gull</x:v>
      </x:c>
      <x:c r="E1103" s="32" t="str">
        <x:v>Chroicocephalus cirrocephalus</x:v>
      </x:c>
      <x:c r="F1103" s="30" t="str">
        <x:v>common</x:v>
      </x:c>
      <x:c r="G1103" s="30" t="str">
        <x:v>standard</x:v>
      </x:c>
      <x:c r="H1103" s="30" t="str">
        <x:v>year-round</x:v>
      </x:c>
      <x:c r="I11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4">
      <x:c r="A1104" s="36" t="str">
        <x:v>east_africa</x:v>
      </x:c>
      <x:c r="B1104" s="30" t="str">
        <x:v>east-africa-broad-draft-1</x:v>
      </x:c>
      <x:c r="C1104" s="30" t="n">
        <x:v>512160</x:v>
      </x:c>
      <x:c r="D1104" s="32" t="str">
        <x:v>Crowned Hornbill</x:v>
      </x:c>
      <x:c r="E1104" s="32" t="str">
        <x:v>Lophoceros alboterminatus</x:v>
      </x:c>
      <x:c r="F1104" s="30" t="str">
        <x:v>common</x:v>
      </x:c>
      <x:c r="G1104" s="30" t="str">
        <x:v>standard</x:v>
      </x:c>
      <x:c r="H1104" s="30" t="str">
        <x:v>year-round</x:v>
      </x:c>
      <x:c r="I11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5">
      <x:c r="A1105" s="36" t="str">
        <x:v>east_africa</x:v>
      </x:c>
      <x:c r="B1105" s="30" t="str">
        <x:v>east-africa-broad-draft-1</x:v>
      </x:c>
      <x:c r="C1105" s="30" t="n">
        <x:v>1505668</x:v>
      </x:c>
      <x:c r="D1105" s="32" t="str">
        <x:v>Kittlitz's Plover</x:v>
      </x:c>
      <x:c r="E1105" s="32" t="str">
        <x:v>Anarhynchus pecuarius</x:v>
      </x:c>
      <x:c r="F1105" s="30" t="str">
        <x:v>common</x:v>
      </x:c>
      <x:c r="G1105" s="30" t="str">
        <x:v>standard</x:v>
      </x:c>
      <x:c r="H1105" s="30" t="str">
        <x:v>year-round</x:v>
      </x:c>
      <x:c r="I11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6">
      <x:c r="A1106" s="36" t="str">
        <x:v>east_africa</x:v>
      </x:c>
      <x:c r="B1106" s="30" t="str">
        <x:v>east-africa-broad-draft-1</x:v>
      </x:c>
      <x:c r="C1106" s="30" t="n">
        <x:v>8214</x:v>
      </x:c>
      <x:c r="D1106" s="32" t="str">
        <x:v>Slate-colored Boubou</x:v>
      </x:c>
      <x:c r="E1106" s="32" t="str">
        <x:v>Laniarius funebris</x:v>
      </x:c>
      <x:c r="F1106" s="30" t="str">
        <x:v>common</x:v>
      </x:c>
      <x:c r="G1106" s="30" t="str">
        <x:v>standard</x:v>
      </x:c>
      <x:c r="H1106" s="30" t="str">
        <x:v>year-round</x:v>
      </x:c>
      <x:c r="I11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7">
      <x:c r="A1107" s="36" t="str">
        <x:v>east_africa</x:v>
      </x:c>
      <x:c r="B1107" s="30" t="str">
        <x:v>east-africa-broad-draft-1</x:v>
      </x:c>
      <x:c r="C1107" s="30" t="n">
        <x:v>3878</x:v>
      </x:c>
      <x:c r="D1107" s="32" t="str">
        <x:v>Common Greenshank</x:v>
      </x:c>
      <x:c r="E1107" s="32" t="str">
        <x:v>Tringa nebularia</x:v>
      </x:c>
      <x:c r="F1107" s="30" t="str">
        <x:v>common</x:v>
      </x:c>
      <x:c r="G1107" s="30" t="str">
        <x:v>standard</x:v>
      </x:c>
      <x:c r="H1107" s="30" t="str">
        <x:v>year-round</x:v>
      </x:c>
      <x:c r="I11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8">
      <x:c r="A1108" s="36" t="str">
        <x:v>east_africa</x:v>
      </x:c>
      <x:c r="B1108" s="30" t="str">
        <x:v>east-africa-broad-draft-1</x:v>
      </x:c>
      <x:c r="C1108" s="30" t="n">
        <x:v>1636180</x:v>
      </x:c>
      <x:c r="D1108" s="32" t="str">
        <x:v>Little Heron</x:v>
      </x:c>
      <x:c r="E1108" s="32" t="str">
        <x:v>Butorides atricapilla</x:v>
      </x:c>
      <x:c r="F1108" s="30" t="str">
        <x:v>common</x:v>
      </x:c>
      <x:c r="G1108" s="30" t="str">
        <x:v>standard</x:v>
      </x:c>
      <x:c r="H1108" s="30" t="str">
        <x:v>year-round</x:v>
      </x:c>
      <x:c r="I11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09">
      <x:c r="A1109" s="36" t="str">
        <x:v>east_africa</x:v>
      </x:c>
      <x:c r="B1109" s="30" t="str">
        <x:v>east-africa-broad-draft-1</x:v>
      </x:c>
      <x:c r="C1109" s="30" t="n">
        <x:v>5240</x:v>
      </x:c>
      <x:c r="D1109" s="32" t="str">
        <x:v>Black-chested Snake-Eagle</x:v>
      </x:c>
      <x:c r="E1109" s="32" t="str">
        <x:v>Circaetus pectoralis</x:v>
      </x:c>
      <x:c r="F1109" s="30" t="str">
        <x:v>common</x:v>
      </x:c>
      <x:c r="G1109" s="30" t="str">
        <x:v>standard</x:v>
      </x:c>
      <x:c r="H1109" s="30" t="str">
        <x:v>year-round</x:v>
      </x:c>
      <x:c r="I11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0">
      <x:c r="A1110" s="36" t="str">
        <x:v>east_africa</x:v>
      </x:c>
      <x:c r="B1110" s="30" t="str">
        <x:v>east-africa-broad-draft-1</x:v>
      </x:c>
      <x:c r="C1110" s="30" t="n">
        <x:v>145208</x:v>
      </x:c>
      <x:c r="D1110" s="32" t="str">
        <x:v>African Pipit</x:v>
      </x:c>
      <x:c r="E1110" s="32" t="str">
        <x:v>Anthus cinnamomeus</x:v>
      </x:c>
      <x:c r="F1110" s="30" t="str">
        <x:v>common</x:v>
      </x:c>
      <x:c r="G1110" s="30" t="str">
        <x:v>standard</x:v>
      </x:c>
      <x:c r="H1110" s="30" t="str">
        <x:v>year-round</x:v>
      </x:c>
      <x:c r="I11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1">
      <x:c r="A1111" s="36" t="str">
        <x:v>east_africa</x:v>
      </x:c>
      <x:c r="B1111" s="30" t="str">
        <x:v>east-africa-broad-draft-1</x:v>
      </x:c>
      <x:c r="C1111" s="30" t="n">
        <x:v>11901</x:v>
      </x:c>
      <x:c r="D1111" s="32" t="str">
        <x:v>Barn Swallow</x:v>
      </x:c>
      <x:c r="E1111" s="32" t="str">
        <x:v>Hirundo rustica</x:v>
      </x:c>
      <x:c r="F1111" s="30" t="str">
        <x:v>common</x:v>
      </x:c>
      <x:c r="G1111" s="30" t="str">
        <x:v>standard</x:v>
      </x:c>
      <x:c r="H1111" s="30" t="str">
        <x:v>year-round</x:v>
      </x:c>
      <x:c r="I11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2">
      <x:c r="A1112" s="36" t="str">
        <x:v>east_africa</x:v>
      </x:c>
      <x:c r="B1112" s="30" t="str">
        <x:v>east-africa-broad-draft-1</x:v>
      </x:c>
      <x:c r="C1112" s="30" t="n">
        <x:v>17634</x:v>
      </x:c>
      <x:c r="D1112" s="32" t="str">
        <x:v>Nubian Woodpecker</x:v>
      </x:c>
      <x:c r="E1112" s="32" t="str">
        <x:v>Campethera nubica</x:v>
      </x:c>
      <x:c r="F1112" s="30" t="str">
        <x:v>common</x:v>
      </x:c>
      <x:c r="G1112" s="30" t="str">
        <x:v>standard</x:v>
      </x:c>
      <x:c r="H1112" s="30" t="str">
        <x:v>year-round</x:v>
      </x:c>
      <x:c r="I11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3">
      <x:c r="A1113" s="36" t="str">
        <x:v>east_africa</x:v>
      </x:c>
      <x:c r="B1113" s="30" t="str">
        <x:v>east-africa-broad-draft-1</x:v>
      </x:c>
      <x:c r="C1113" s="30" t="n">
        <x:v>2334</x:v>
      </x:c>
      <x:c r="D1113" s="32" t="str">
        <x:v>Striped Kingfisher</x:v>
      </x:c>
      <x:c r="E1113" s="32" t="str">
        <x:v>Halcyon chelicuti</x:v>
      </x:c>
      <x:c r="F1113" s="30" t="str">
        <x:v>common</x:v>
      </x:c>
      <x:c r="G1113" s="30" t="str">
        <x:v>standard</x:v>
      </x:c>
      <x:c r="H1113" s="30" t="str">
        <x:v>year-round</x:v>
      </x:c>
      <x:c r="I11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4">
      <x:c r="A1114" s="36" t="str">
        <x:v>east_africa</x:v>
      </x:c>
      <x:c r="B1114" s="30" t="str">
        <x:v>east-africa-broad-draft-1</x:v>
      </x:c>
      <x:c r="C1114" s="30" t="n">
        <x:v>5066</x:v>
      </x:c>
      <x:c r="D1114" s="32" t="str">
        <x:v>African Darter</x:v>
      </x:c>
      <x:c r="E1114" s="32" t="str">
        <x:v>Anhinga rufa</x:v>
      </x:c>
      <x:c r="F1114" s="30" t="str">
        <x:v>common</x:v>
      </x:c>
      <x:c r="G1114" s="30" t="str">
        <x:v>standard</x:v>
      </x:c>
      <x:c r="H1114" s="30" t="str">
        <x:v>year-round</x:v>
      </x:c>
      <x:c r="I11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5">
      <x:c r="A1115" s="36" t="str">
        <x:v>east_africa</x:v>
      </x:c>
      <x:c r="B1115" s="30" t="str">
        <x:v>east-africa-broad-draft-1</x:v>
      </x:c>
      <x:c r="C1115" s="30" t="n">
        <x:v>3327</x:v>
      </x:c>
      <x:c r="D1115" s="32" t="str">
        <x:v>Emerald-spotted Wood-Dove</x:v>
      </x:c>
      <x:c r="E1115" s="32" t="str">
        <x:v>Turtur chalcospilos</x:v>
      </x:c>
      <x:c r="F1115" s="30" t="str">
        <x:v>common</x:v>
      </x:c>
      <x:c r="G1115" s="30" t="str">
        <x:v>standard</x:v>
      </x:c>
      <x:c r="H1115" s="30" t="str">
        <x:v>year-round</x:v>
      </x:c>
      <x:c r="I11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6">
      <x:c r="A1116" s="36" t="str">
        <x:v>east_africa</x:v>
      </x:c>
      <x:c r="B1116" s="30" t="str">
        <x:v>east-africa-broad-draft-1</x:v>
      </x:c>
      <x:c r="C1116" s="30" t="n">
        <x:v>3652</x:v>
      </x:c>
      <x:c r="D1116" s="32" t="str">
        <x:v>Namaqua Dove</x:v>
      </x:c>
      <x:c r="E1116" s="32" t="str">
        <x:v>Oena capensis</x:v>
      </x:c>
      <x:c r="F1116" s="30" t="str">
        <x:v>common</x:v>
      </x:c>
      <x:c r="G1116" s="30" t="str">
        <x:v>standard</x:v>
      </x:c>
      <x:c r="H1116" s="30" t="str">
        <x:v>year-round</x:v>
      </x:c>
      <x:c r="I11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7">
      <x:c r="A1117" s="36" t="str">
        <x:v>east_africa</x:v>
      </x:c>
      <x:c r="B1117" s="30" t="str">
        <x:v>east-africa-broad-draft-1</x:v>
      </x:c>
      <x:c r="C1117" s="30" t="n">
        <x:v>55371</x:v>
      </x:c>
      <x:c r="D1117" s="32" t="str">
        <x:v>African Stonechat</x:v>
      </x:c>
      <x:c r="E1117" s="32" t="str">
        <x:v>Saxicola torquatus</x:v>
      </x:c>
      <x:c r="F1117" s="30" t="str">
        <x:v>common</x:v>
      </x:c>
      <x:c r="G1117" s="30" t="str">
        <x:v>standard</x:v>
      </x:c>
      <x:c r="H1117" s="30" t="str">
        <x:v>year-round</x:v>
      </x:c>
      <x:c r="I11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8">
      <x:c r="A1118" s="36" t="str">
        <x:v>east_africa</x:v>
      </x:c>
      <x:c r="B1118" s="30" t="str">
        <x:v>east-africa-broad-draft-1</x:v>
      </x:c>
      <x:c r="C1118" s="30" t="n">
        <x:v>13920</x:v>
      </x:c>
      <x:c r="D1118" s="32" t="str">
        <x:v>Speckle-fronted Weaver</x:v>
      </x:c>
      <x:c r="E1118" s="32" t="str">
        <x:v>Sporopipes frontalis</x:v>
      </x:c>
      <x:c r="F1118" s="30" t="str">
        <x:v>common</x:v>
      </x:c>
      <x:c r="G1118" s="30" t="str">
        <x:v>standard</x:v>
      </x:c>
      <x:c r="H1118" s="30" t="str">
        <x:v>year-round</x:v>
      </x:c>
      <x:c r="I11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19">
      <x:c r="A1119" s="36" t="str">
        <x:v>east_africa</x:v>
      </x:c>
      <x:c r="B1119" s="30" t="str">
        <x:v>east-africa-broad-draft-1</x:v>
      </x:c>
      <x:c r="C1119" s="30" t="n">
        <x:v>13084</x:v>
      </x:c>
      <x:c r="D1119" s="32" t="str">
        <x:v>Spotted Morning-Thrush</x:v>
      </x:c>
      <x:c r="E1119" s="32" t="str">
        <x:v>Cichladusa guttata</x:v>
      </x:c>
      <x:c r="F1119" s="30" t="str">
        <x:v>common</x:v>
      </x:c>
      <x:c r="G1119" s="30" t="str">
        <x:v>standard</x:v>
      </x:c>
      <x:c r="H1119" s="30" t="str">
        <x:v>year-round</x:v>
      </x:c>
      <x:c r="I11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0">
      <x:c r="A1120" s="36" t="str">
        <x:v>east_africa</x:v>
      </x:c>
      <x:c r="B1120" s="30" t="str">
        <x:v>east-africa-broad-draft-1</x:v>
      </x:c>
      <x:c r="C1120" s="30" t="n">
        <x:v>7146</x:v>
      </x:c>
      <x:c r="D1120" s="32" t="str">
        <x:v>Spur-winged Goose</x:v>
      </x:c>
      <x:c r="E1120" s="32" t="str">
        <x:v>Plectropterus gambensis</x:v>
      </x:c>
      <x:c r="F1120" s="30" t="str">
        <x:v>common</x:v>
      </x:c>
      <x:c r="G1120" s="30" t="str">
        <x:v>standard</x:v>
      </x:c>
      <x:c r="H1120" s="30" t="str">
        <x:v>year-round</x:v>
      </x:c>
      <x:c r="I11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1">
      <x:c r="A1121" s="36" t="str">
        <x:v>east_africa</x:v>
      </x:c>
      <x:c r="B1121" s="30" t="str">
        <x:v>east-africa-broad-draft-1</x:v>
      </x:c>
      <x:c r="C1121" s="30" t="n">
        <x:v>13842</x:v>
      </x:c>
      <x:c r="D1121" s="32" t="str">
        <x:v>Lesser Masked Weaver</x:v>
      </x:c>
      <x:c r="E1121" s="32" t="str">
        <x:v>Ploceus intermedius</x:v>
      </x:c>
      <x:c r="F1121" s="30" t="str">
        <x:v>common</x:v>
      </x:c>
      <x:c r="G1121" s="30" t="str">
        <x:v>standard</x:v>
      </x:c>
      <x:c r="H1121" s="30" t="str">
        <x:v>year-round</x:v>
      </x:c>
      <x:c r="I11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2">
      <x:c r="A1122" s="36" t="str">
        <x:v>east_africa</x:v>
      </x:c>
      <x:c r="B1122" s="30" t="str">
        <x:v>east-africa-broad-draft-1</x:v>
      </x:c>
      <x:c r="C1122" s="30" t="n">
        <x:v>7729</x:v>
      </x:c>
      <x:c r="D1122" s="32" t="str">
        <x:v>Tawny-flanked Prinia</x:v>
      </x:c>
      <x:c r="E1122" s="32" t="str">
        <x:v>Prinia subflava</x:v>
      </x:c>
      <x:c r="F1122" s="30" t="str">
        <x:v>common</x:v>
      </x:c>
      <x:c r="G1122" s="30" t="str">
        <x:v>standard</x:v>
      </x:c>
      <x:c r="H1122" s="30" t="str">
        <x:v>year-round</x:v>
      </x:c>
      <x:c r="I11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3">
      <x:c r="A1123" s="36" t="str">
        <x:v>east_africa</x:v>
      </x:c>
      <x:c r="B1123" s="30" t="str">
        <x:v>east-africa-broad-draft-1</x:v>
      </x:c>
      <x:c r="C1123" s="30" t="n">
        <x:v>117082</x:v>
      </x:c>
      <x:c r="D1123" s="32" t="str">
        <x:v>Black-faced Sandgrouse</x:v>
      </x:c>
      <x:c r="E1123" s="32" t="str">
        <x:v>Pterocles decoratus</x:v>
      </x:c>
      <x:c r="F1123" s="30" t="str">
        <x:v>common</x:v>
      </x:c>
      <x:c r="G1123" s="30" t="str">
        <x:v>standard</x:v>
      </x:c>
      <x:c r="H1123" s="30" t="str">
        <x:v>year-round</x:v>
      </x:c>
      <x:c r="I11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4">
      <x:c r="A1124" s="36" t="str">
        <x:v>east_africa</x:v>
      </x:c>
      <x:c r="B1124" s="30" t="str">
        <x:v>east-africa-broad-draft-1</x:v>
      </x:c>
      <x:c r="C1124" s="30" t="n">
        <x:v>13235</x:v>
      </x:c>
      <x:c r="D1124" s="32" t="str">
        <x:v>Silverbird</x:v>
      </x:c>
      <x:c r="E1124" s="32" t="str">
        <x:v>Empidornis semipartitus</x:v>
      </x:c>
      <x:c r="F1124" s="30" t="str">
        <x:v>common</x:v>
      </x:c>
      <x:c r="G1124" s="30" t="str">
        <x:v>standard</x:v>
      </x:c>
      <x:c r="H1124" s="30" t="str">
        <x:v>year-round</x:v>
      </x:c>
      <x:c r="I11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5">
      <x:c r="A1125" s="36" t="str">
        <x:v>east_africa</x:v>
      </x:c>
      <x:c r="B1125" s="30" t="str">
        <x:v>east-africa-broad-draft-1</x:v>
      </x:c>
      <x:c r="C1125" s="30" t="n">
        <x:v>3756</x:v>
      </x:c>
      <x:c r="D1125" s="32" t="str">
        <x:v>Glossy Ibis</x:v>
      </x:c>
      <x:c r="E1125" s="32" t="str">
        <x:v>Plegadis falcinellus</x:v>
      </x:c>
      <x:c r="F1125" s="30" t="str">
        <x:v>common</x:v>
      </x:c>
      <x:c r="G1125" s="30" t="str">
        <x:v>standard</x:v>
      </x:c>
      <x:c r="H1125" s="30" t="str">
        <x:v>year-round</x:v>
      </x:c>
      <x:c r="I11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6">
      <x:c r="A1126" s="36" t="str">
        <x:v>east_africa</x:v>
      </x:c>
      <x:c r="B1126" s="30" t="str">
        <x:v>east-africa-broad-draft-1</x:v>
      </x:c>
      <x:c r="C1126" s="30" t="n">
        <x:v>4732</x:v>
      </x:c>
      <x:c r="D1126" s="32" t="str">
        <x:v>Abdim's Stork</x:v>
      </x:c>
      <x:c r="E1126" s="32" t="str">
        <x:v>Ciconia abdimii</x:v>
      </x:c>
      <x:c r="F1126" s="30" t="str">
        <x:v>common</x:v>
      </x:c>
      <x:c r="G1126" s="30" t="str">
        <x:v>standard</x:v>
      </x:c>
      <x:c r="H1126" s="30" t="str">
        <x:v>year-round</x:v>
      </x:c>
      <x:c r="I11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7">
      <x:c r="A1127" s="36" t="str">
        <x:v>east_africa</x:v>
      </x:c>
      <x:c r="B1127" s="30" t="str">
        <x:v>east-africa-broad-draft-1</x:v>
      </x:c>
      <x:c r="C1127" s="30" t="n">
        <x:v>12709</x:v>
      </x:c>
      <x:c r="D1127" s="32" t="str">
        <x:v>African Thrush</x:v>
      </x:c>
      <x:c r="E1127" s="32" t="str">
        <x:v>Turdus pelios</x:v>
      </x:c>
      <x:c r="F1127" s="30" t="str">
        <x:v>common</x:v>
      </x:c>
      <x:c r="G1127" s="30" t="str">
        <x:v>standard</x:v>
      </x:c>
      <x:c r="H1127" s="30" t="str">
        <x:v>year-round</x:v>
      </x:c>
      <x:c r="I11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8">
      <x:c r="A1128" s="36" t="str">
        <x:v>east_africa</x:v>
      </x:c>
      <x:c r="B1128" s="30" t="str">
        <x:v>east-africa-broad-draft-1</x:v>
      </x:c>
      <x:c r="C1128" s="30" t="n">
        <x:v>204545</x:v>
      </x:c>
      <x:c r="D1128" s="32" t="str">
        <x:v>Western Yellow Wagtail</x:v>
      </x:c>
      <x:c r="E1128" s="32" t="str">
        <x:v>Motacilla flava</x:v>
      </x:c>
      <x:c r="F1128" s="30" t="str">
        <x:v>common</x:v>
      </x:c>
      <x:c r="G1128" s="30" t="str">
        <x:v>standard</x:v>
      </x:c>
      <x:c r="H1128" s="30" t="str">
        <x:v>year-round</x:v>
      </x:c>
      <x:c r="I11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29">
      <x:c r="A1129" s="36" t="str">
        <x:v>east_africa</x:v>
      </x:c>
      <x:c r="B1129" s="30" t="str">
        <x:v>east-africa-broad-draft-1</x:v>
      </x:c>
      <x:c r="C1129" s="30" t="n">
        <x:v>7250</x:v>
      </x:c>
      <x:c r="D1129" s="32" t="str">
        <x:v>Great Blue Turaco</x:v>
      </x:c>
      <x:c r="E1129" s="32" t="str">
        <x:v>Corythaeola cristata</x:v>
      </x:c>
      <x:c r="F1129" s="30" t="str">
        <x:v>common</x:v>
      </x:c>
      <x:c r="G1129" s="30" t="str">
        <x:v>standard</x:v>
      </x:c>
      <x:c r="H1129" s="30" t="str">
        <x:v>year-round</x:v>
      </x:c>
      <x:c r="I11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0">
      <x:c r="A1130" s="36" t="str">
        <x:v>east_africa</x:v>
      </x:c>
      <x:c r="B1130" s="30" t="str">
        <x:v>east-africa-broad-draft-1</x:v>
      </x:c>
      <x:c r="C1130" s="30" t="n">
        <x:v>472777</x:v>
      </x:c>
      <x:c r="D1130" s="32" t="str">
        <x:v>Somali Ostrich</x:v>
      </x:c>
      <x:c r="E1130" s="32" t="str">
        <x:v>Struthio molybdophanes</x:v>
      </x:c>
      <x:c r="F1130" s="30" t="str">
        <x:v>common</x:v>
      </x:c>
      <x:c r="G1130" s="30" t="str">
        <x:v>standard</x:v>
      </x:c>
      <x:c r="H1130" s="30" t="str">
        <x:v>year-round</x:v>
      </x:c>
      <x:c r="I11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1">
      <x:c r="A1131" s="36" t="str">
        <x:v>east_africa</x:v>
      </x:c>
      <x:c r="B1131" s="30" t="str">
        <x:v>east-africa-broad-draft-1</x:v>
      </x:c>
      <x:c r="C1131" s="30" t="n">
        <x:v>6965</x:v>
      </x:c>
      <x:c r="D1131" s="32" t="str">
        <x:v>Yellow-billed Duck</x:v>
      </x:c>
      <x:c r="E1131" s="32" t="str">
        <x:v>Anas undulata</x:v>
      </x:c>
      <x:c r="F1131" s="30" t="str">
        <x:v>common</x:v>
      </x:c>
      <x:c r="G1131" s="30" t="str">
        <x:v>standard</x:v>
      </x:c>
      <x:c r="H1131" s="30" t="str">
        <x:v>year-round</x:v>
      </x:c>
      <x:c r="I11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2">
      <x:c r="A1132" s="36" t="str">
        <x:v>east_africa</x:v>
      </x:c>
      <x:c r="B1132" s="30" t="str">
        <x:v>east-africa-broad-draft-1</x:v>
      </x:c>
      <x:c r="C1132" s="30" t="n">
        <x:v>13791</x:v>
      </x:c>
      <x:c r="D1132" s="32" t="str">
        <x:v>Vitelline Masked-Weaver</x:v>
      </x:c>
      <x:c r="E1132" s="32" t="str">
        <x:v>Ploceus vitellinus</x:v>
      </x:c>
      <x:c r="F1132" s="30" t="str">
        <x:v>common</x:v>
      </x:c>
      <x:c r="G1132" s="30" t="str">
        <x:v>standard</x:v>
      </x:c>
      <x:c r="H1132" s="30" t="str">
        <x:v>year-round</x:v>
      </x:c>
      <x:c r="I11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3">
      <x:c r="A1133" s="36" t="str">
        <x:v>east_africa</x:v>
      </x:c>
      <x:c r="B1133" s="30" t="str">
        <x:v>east-africa-broad-draft-1</x:v>
      </x:c>
      <x:c r="C1133" s="30" t="n">
        <x:v>516943</x:v>
      </x:c>
      <x:c r="D1133" s="32" t="str">
        <x:v>Ashy Starling</x:v>
      </x:c>
      <x:c r="E1133" s="32" t="str">
        <x:v>Lamprotornis unicolor</x:v>
      </x:c>
      <x:c r="F1133" s="30" t="str">
        <x:v>common</x:v>
      </x:c>
      <x:c r="G1133" s="30" t="str">
        <x:v>standard</x:v>
      </x:c>
      <x:c r="H1133" s="30" t="str">
        <x:v>year-round</x:v>
      </x:c>
      <x:c r="I11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4">
      <x:c r="A1134" s="36" t="str">
        <x:v>east_africa</x:v>
      </x:c>
      <x:c r="B1134" s="30" t="str">
        <x:v>east-africa-broad-draft-1</x:v>
      </x:c>
      <x:c r="C1134" s="30" t="n">
        <x:v>7247</x:v>
      </x:c>
      <x:c r="D1134" s="32" t="str">
        <x:v>Eastern Plantain-eater</x:v>
      </x:c>
      <x:c r="E1134" s="32" t="str">
        <x:v>Crinifer zonurus</x:v>
      </x:c>
      <x:c r="F1134" s="30" t="str">
        <x:v>common</x:v>
      </x:c>
      <x:c r="G1134" s="30" t="str">
        <x:v>standard</x:v>
      </x:c>
      <x:c r="H1134" s="30" t="str">
        <x:v>year-round</x:v>
      </x:c>
      <x:c r="I11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5">
      <x:c r="A1135" s="36" t="str">
        <x:v>east_africa</x:v>
      </x:c>
      <x:c r="B1135" s="30" t="str">
        <x:v>east-africa-broad-draft-1</x:v>
      </x:c>
      <x:c r="C1135" s="30" t="n">
        <x:v>12868</x:v>
      </x:c>
      <x:c r="D1135" s="32" t="str">
        <x:v>Northern Anteater-Chat</x:v>
      </x:c>
      <x:c r="E1135" s="32" t="str">
        <x:v>Myrmecocichla aethiops</x:v>
      </x:c>
      <x:c r="F1135" s="30" t="str">
        <x:v>common</x:v>
      </x:c>
      <x:c r="G1135" s="30" t="str">
        <x:v>standard</x:v>
      </x:c>
      <x:c r="H1135" s="30" t="str">
        <x:v>year-round</x:v>
      </x:c>
      <x:c r="I11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6">
      <x:c r="A1136" s="36" t="str">
        <x:v>east_africa</x:v>
      </x:c>
      <x:c r="B1136" s="30" t="str">
        <x:v>east-africa-broad-draft-1</x:v>
      </x:c>
      <x:c r="C1136" s="30" t="n">
        <x:v>4237</x:v>
      </x:c>
      <x:c r="D1136" s="32" t="str">
        <x:v>Little Grebe</x:v>
      </x:c>
      <x:c r="E1136" s="32" t="str">
        <x:v>Tachybaptus ruficollis</x:v>
      </x:c>
      <x:c r="F1136" s="30" t="str">
        <x:v>common</x:v>
      </x:c>
      <x:c r="G1136" s="30" t="str">
        <x:v>standard</x:v>
      </x:c>
      <x:c r="H1136" s="30" t="str">
        <x:v>year-round</x:v>
      </x:c>
      <x:c r="I11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7">
      <x:c r="A1137" s="36" t="str">
        <x:v>east_africa</x:v>
      </x:c>
      <x:c r="B1137" s="30" t="str">
        <x:v>east-africa-broad-draft-1</x:v>
      </x:c>
      <x:c r="C1137" s="30" t="n">
        <x:v>487</x:v>
      </x:c>
      <x:c r="D1137" s="32" t="str">
        <x:v>Red-knobbed Coot</x:v>
      </x:c>
      <x:c r="E1137" s="32" t="str">
        <x:v>Fulica cristata</x:v>
      </x:c>
      <x:c r="F1137" s="30" t="str">
        <x:v>common</x:v>
      </x:c>
      <x:c r="G1137" s="30" t="str">
        <x:v>standard</x:v>
      </x:c>
      <x:c r="H1137" s="30" t="str">
        <x:v>year-round</x:v>
      </x:c>
      <x:c r="I11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8">
      <x:c r="A1138" s="36" t="str">
        <x:v>east_africa</x:v>
      </x:c>
      <x:c r="B1138" s="30" t="str">
        <x:v>east-africa-broad-draft-1</x:v>
      </x:c>
      <x:c r="C1138" s="30" t="n">
        <x:v>6984</x:v>
      </x:c>
      <x:c r="D1138" s="32" t="str">
        <x:v>Red-billed Teal</x:v>
      </x:c>
      <x:c r="E1138" s="32" t="str">
        <x:v>Anas erythrorhyncha</x:v>
      </x:c>
      <x:c r="F1138" s="30" t="str">
        <x:v>common</x:v>
      </x:c>
      <x:c r="G1138" s="30" t="str">
        <x:v>standard</x:v>
      </x:c>
      <x:c r="H1138" s="30" t="str">
        <x:v>year-round</x:v>
      </x:c>
      <x:c r="I11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39">
      <x:c r="A1139" s="36" t="str">
        <x:v>east_africa</x:v>
      </x:c>
      <x:c r="B1139" s="30" t="str">
        <x:v>east-africa-broad-draft-1</x:v>
      </x:c>
      <x:c r="C1139" s="30" t="n">
        <x:v>597463</x:v>
      </x:c>
      <x:c r="D1139" s="32" t="str">
        <x:v>Tropical Boubou</x:v>
      </x:c>
      <x:c r="E1139" s="32" t="str">
        <x:v>Laniarius major</x:v>
      </x:c>
      <x:c r="F1139" s="30" t="str">
        <x:v>common</x:v>
      </x:c>
      <x:c r="G1139" s="30" t="str">
        <x:v>standard</x:v>
      </x:c>
      <x:c r="H1139" s="30" t="str">
        <x:v>year-round</x:v>
      </x:c>
      <x:c r="I11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0">
      <x:c r="A1140" s="36" t="str">
        <x:v>east_africa</x:v>
      </x:c>
      <x:c r="B1140" s="30" t="str">
        <x:v>east-africa-broad-draft-1</x:v>
      </x:c>
      <x:c r="C1140" s="30" t="n">
        <x:v>15030</x:v>
      </x:c>
      <x:c r="D1140" s="32" t="str">
        <x:v>Violet-backed Starling</x:v>
      </x:c>
      <x:c r="E1140" s="32" t="str">
        <x:v>Cinnyricinclus leucogaster</x:v>
      </x:c>
      <x:c r="F1140" s="30" t="str">
        <x:v>common</x:v>
      </x:c>
      <x:c r="G1140" s="30" t="str">
        <x:v>standard</x:v>
      </x:c>
      <x:c r="H1140" s="30" t="str">
        <x:v>year-round</x:v>
      </x:c>
      <x:c r="I11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1">
      <x:c r="A1141" s="36" t="str">
        <x:v>east_africa</x:v>
      </x:c>
      <x:c r="B1141" s="30" t="str">
        <x:v>east-africa-broad-draft-1</x:v>
      </x:c>
      <x:c r="C1141" s="30" t="n">
        <x:v>1429237</x:v>
      </x:c>
      <x:c r="D1141" s="32" t="str">
        <x:v>African Woolly-necked Stork</x:v>
      </x:c>
      <x:c r="E1141" s="32" t="str">
        <x:v>Ciconia microscelis</x:v>
      </x:c>
      <x:c r="F1141" s="30" t="str">
        <x:v>common</x:v>
      </x:c>
      <x:c r="G1141" s="30" t="str">
        <x:v>standard</x:v>
      </x:c>
      <x:c r="H1141" s="30" t="str">
        <x:v>year-round</x:v>
      </x:c>
      <x:c r="I11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2">
      <x:c r="A1142" s="36" t="str">
        <x:v>east_africa</x:v>
      </x:c>
      <x:c r="B1142" s="30" t="str">
        <x:v>east-africa-broad-draft-1</x:v>
      </x:c>
      <x:c r="C1142" s="30" t="n">
        <x:v>20969</x:v>
      </x:c>
      <x:c r="D1142" s="32" t="str">
        <x:v>Common Hoopoe</x:v>
      </x:c>
      <x:c r="E1142" s="32" t="str">
        <x:v>Upupa epops</x:v>
      </x:c>
      <x:c r="F1142" s="30" t="str">
        <x:v>common</x:v>
      </x:c>
      <x:c r="G1142" s="30" t="str">
        <x:v>standard</x:v>
      </x:c>
      <x:c r="H1142" s="30" t="str">
        <x:v>year-round</x:v>
      </x:c>
      <x:c r="I11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3">
      <x:c r="A1143" s="36" t="str">
        <x:v>east_africa</x:v>
      </x:c>
      <x:c r="B1143" s="30" t="str">
        <x:v>east-africa-broad-draft-1</x:v>
      </x:c>
      <x:c r="C1143" s="30" t="n">
        <x:v>13793</x:v>
      </x:c>
      <x:c r="D1143" s="32" t="str">
        <x:v>Black-headed Weaver</x:v>
      </x:c>
      <x:c r="E1143" s="32" t="str">
        <x:v>Ploceus melanocephalus</x:v>
      </x:c>
      <x:c r="F1143" s="30" t="str">
        <x:v>common</x:v>
      </x:c>
      <x:c r="G1143" s="30" t="str">
        <x:v>standard</x:v>
      </x:c>
      <x:c r="H1143" s="30" t="str">
        <x:v>year-round</x:v>
      </x:c>
      <x:c r="I11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4">
      <x:c r="A1144" s="36" t="str">
        <x:v>east_africa</x:v>
      </x:c>
      <x:c r="B1144" s="30" t="str">
        <x:v>east-africa-broad-draft-1</x:v>
      </x:c>
      <x:c r="C1144" s="30" t="n">
        <x:v>558613</x:v>
      </x:c>
      <x:c r="D1144" s="32" t="str">
        <x:v>White-bellied Canary</x:v>
      </x:c>
      <x:c r="E1144" s="32" t="str">
        <x:v>Crithagra dorsostriata</x:v>
      </x:c>
      <x:c r="F1144" s="30" t="str">
        <x:v>common</x:v>
      </x:c>
      <x:c r="G1144" s="30" t="str">
        <x:v>standard</x:v>
      </x:c>
      <x:c r="H1144" s="30" t="str">
        <x:v>year-round</x:v>
      </x:c>
      <x:c r="I11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5">
      <x:c r="A1145" s="36" t="str">
        <x:v>east_africa</x:v>
      </x:c>
      <x:c r="B1145" s="30" t="str">
        <x:v>east-africa-broad-draft-1</x:v>
      </x:c>
      <x:c r="C1145" s="30" t="n">
        <x:v>3695</x:v>
      </x:c>
      <x:c r="D1145" s="32" t="str">
        <x:v>Blue-naped Mousebird</x:v>
      </x:c>
      <x:c r="E1145" s="32" t="str">
        <x:v>Urocolius macrourus</x:v>
      </x:c>
      <x:c r="F1145" s="30" t="str">
        <x:v>common</x:v>
      </x:c>
      <x:c r="G1145" s="30" t="str">
        <x:v>standard</x:v>
      </x:c>
      <x:c r="H1145" s="30" t="str">
        <x:v>year-round</x:v>
      </x:c>
      <x:c r="I11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6">
      <x:c r="A1146" s="36" t="str">
        <x:v>east_africa</x:v>
      </x:c>
      <x:c r="B1146" s="30" t="str">
        <x:v>east-africa-broad-draft-1</x:v>
      </x:c>
      <x:c r="C1146" s="30" t="n">
        <x:v>73010</x:v>
      </x:c>
      <x:c r="D1146" s="32" t="str">
        <x:v>Giant Kingfisher</x:v>
      </x:c>
      <x:c r="E1146" s="32" t="str">
        <x:v>Megaceryle maxima</x:v>
      </x:c>
      <x:c r="F1146" s="30" t="str">
        <x:v>common</x:v>
      </x:c>
      <x:c r="G1146" s="30" t="str">
        <x:v>standard</x:v>
      </x:c>
      <x:c r="H1146" s="30" t="str">
        <x:v>year-round</x:v>
      </x:c>
      <x:c r="I11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7">
      <x:c r="A1147" s="36" t="str">
        <x:v>east_africa</x:v>
      </x:c>
      <x:c r="B1147" s="30" t="str">
        <x:v>east-africa-broad-draft-1</x:v>
      </x:c>
      <x:c r="C1147" s="30" t="n">
        <x:v>6986</x:v>
      </x:c>
      <x:c r="D1147" s="32" t="str">
        <x:v>Cape Teal</x:v>
      </x:c>
      <x:c r="E1147" s="32" t="str">
        <x:v>Anas capensis</x:v>
      </x:c>
      <x:c r="F1147" s="30" t="str">
        <x:v>common</x:v>
      </x:c>
      <x:c r="G1147" s="30" t="str">
        <x:v>standard</x:v>
      </x:c>
      <x:c r="H1147" s="30" t="str">
        <x:v>year-round</x:v>
      </x:c>
      <x:c r="I11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8">
      <x:c r="A1148" s="36" t="str">
        <x:v>east_africa</x:v>
      </x:c>
      <x:c r="B1148" s="30" t="str">
        <x:v>east-africa-broad-draft-1</x:v>
      </x:c>
      <x:c r="C1148" s="30" t="n">
        <x:v>2248</x:v>
      </x:c>
      <x:c r="D1148" s="32" t="str">
        <x:v>White-fronted Bee-eater</x:v>
      </x:c>
      <x:c r="E1148" s="32" t="str">
        <x:v>Merops bullockoides</x:v>
      </x:c>
      <x:c r="F1148" s="30" t="str">
        <x:v>common</x:v>
      </x:c>
      <x:c r="G1148" s="30" t="str">
        <x:v>standard</x:v>
      </x:c>
      <x:c r="H1148" s="30" t="str">
        <x:v>year-round</x:v>
      </x:c>
      <x:c r="I11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49">
      <x:c r="A1149" s="36" t="str">
        <x:v>east_africa</x:v>
      </x:c>
      <x:c r="B1149" s="30" t="str">
        <x:v>east-africa-broad-draft-1</x:v>
      </x:c>
      <x:c r="C1149" s="30" t="n">
        <x:v>2989</x:v>
      </x:c>
      <x:c r="D1149" s="32" t="str">
        <x:v>Dusky Turtle-Dove</x:v>
      </x:c>
      <x:c r="E1149" s="32" t="str">
        <x:v>Streptopelia lugens</x:v>
      </x:c>
      <x:c r="F1149" s="30" t="str">
        <x:v>common</x:v>
      </x:c>
      <x:c r="G1149" s="30" t="str">
        <x:v>standard</x:v>
      </x:c>
      <x:c r="H1149" s="30" t="str">
        <x:v>year-round</x:v>
      </x:c>
      <x:c r="I11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0">
      <x:c r="A1150" s="36" t="str">
        <x:v>east_africa</x:v>
      </x:c>
      <x:c r="B1150" s="30" t="str">
        <x:v>east-africa-broad-draft-1</x:v>
      </x:c>
      <x:c r="C1150" s="30" t="n">
        <x:v>145173</x:v>
      </x:c>
      <x:c r="D1150" s="32" t="str">
        <x:v>Red-chested Sunbird</x:v>
      </x:c>
      <x:c r="E1150" s="32" t="str">
        <x:v>Cinnyris erythrocercus</x:v>
      </x:c>
      <x:c r="F1150" s="30" t="str">
        <x:v>common</x:v>
      </x:c>
      <x:c r="G1150" s="30" t="str">
        <x:v>standard</x:v>
      </x:c>
      <x:c r="H1150" s="30" t="str">
        <x:v>year-round</x:v>
      </x:c>
      <x:c r="I11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1">
      <x:c r="A1151" s="36" t="str">
        <x:v>east_africa</x:v>
      </x:c>
      <x:c r="B1151" s="30" t="str">
        <x:v>east-africa-broad-draft-1</x:v>
      </x:c>
      <x:c r="C1151" s="30" t="n">
        <x:v>144655</x:v>
      </x:c>
      <x:c r="D1151" s="32" t="str">
        <x:v>African Pygmy Kingfisher</x:v>
      </x:c>
      <x:c r="E1151" s="32" t="str">
        <x:v>Ispidina picta</x:v>
      </x:c>
      <x:c r="F1151" s="30" t="str">
        <x:v>common</x:v>
      </x:c>
      <x:c r="G1151" s="30" t="str">
        <x:v>standard</x:v>
      </x:c>
      <x:c r="H1151" s="30" t="str">
        <x:v>year-round</x:v>
      </x:c>
      <x:c r="I11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2">
      <x:c r="A1152" s="36" t="str">
        <x:v>east_africa</x:v>
      </x:c>
      <x:c r="B1152" s="30" t="str">
        <x:v>east-africa-broad-draft-1</x:v>
      </x:c>
      <x:c r="C1152" s="30" t="n">
        <x:v>4688</x:v>
      </x:c>
      <x:c r="D1152" s="32" t="str">
        <x:v>Gray Kestrel</x:v>
      </x:c>
      <x:c r="E1152" s="32" t="str">
        <x:v>Falco ardosiaceus</x:v>
      </x:c>
      <x:c r="F1152" s="30" t="str">
        <x:v>common</x:v>
      </x:c>
      <x:c r="G1152" s="30" t="str">
        <x:v>standard</x:v>
      </x:c>
      <x:c r="H1152" s="30" t="str">
        <x:v>year-round</x:v>
      </x:c>
      <x:c r="I11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3">
      <x:c r="A1153" s="36" t="str">
        <x:v>east_africa</x:v>
      </x:c>
      <x:c r="B1153" s="30" t="str">
        <x:v>east-africa-broad-draft-1</x:v>
      </x:c>
      <x:c r="C1153" s="30" t="n">
        <x:v>2220</x:v>
      </x:c>
      <x:c r="D1153" s="32" t="str">
        <x:v>Northern Carmine Bee-eater</x:v>
      </x:c>
      <x:c r="E1153" s="32" t="str">
        <x:v>Merops nubicus</x:v>
      </x:c>
      <x:c r="F1153" s="30" t="str">
        <x:v>common</x:v>
      </x:c>
      <x:c r="G1153" s="30" t="str">
        <x:v>standard</x:v>
      </x:c>
      <x:c r="H1153" s="30" t="str">
        <x:v>year-round</x:v>
      </x:c>
      <x:c r="I11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4">
      <x:c r="A1154" s="36" t="str">
        <x:v>east_africa</x:v>
      </x:c>
      <x:c r="B1154" s="30" t="str">
        <x:v>east-africa-broad-draft-1</x:v>
      </x:c>
      <x:c r="C1154" s="30" t="n">
        <x:v>558601</x:v>
      </x:c>
      <x:c r="D1154" s="32" t="str">
        <x:v>Yellow-fronted Canary</x:v>
      </x:c>
      <x:c r="E1154" s="32" t="str">
        <x:v>Crithagra mozambica</x:v>
      </x:c>
      <x:c r="F1154" s="30" t="str">
        <x:v>common</x:v>
      </x:c>
      <x:c r="G1154" s="30" t="str">
        <x:v>standard</x:v>
      </x:c>
      <x:c r="H1154" s="30" t="str">
        <x:v>year-round</x:v>
      </x:c>
      <x:c r="I11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5">
      <x:c r="A1155" s="36" t="str">
        <x:v>east_africa</x:v>
      </x:c>
      <x:c r="B1155" s="30" t="str">
        <x:v>east-africa-broad-draft-1</x:v>
      </x:c>
      <x:c r="C1155" s="30" t="n">
        <x:v>19075</x:v>
      </x:c>
      <x:c r="D1155" s="32" t="str">
        <x:v>Fischer's Lovebird</x:v>
      </x:c>
      <x:c r="E1155" s="32" t="str">
        <x:v>Agapornis fischeri</x:v>
      </x:c>
      <x:c r="F1155" s="30" t="str">
        <x:v>common</x:v>
      </x:c>
      <x:c r="G1155" s="30" t="str">
        <x:v>standard</x:v>
      </x:c>
      <x:c r="H1155" s="30" t="str">
        <x:v>year-round</x:v>
      </x:c>
      <x:c r="I11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6">
      <x:c r="A1156" s="36" t="str">
        <x:v>east_africa</x:v>
      </x:c>
      <x:c r="B1156" s="30" t="str">
        <x:v>east-africa-broad-draft-1</x:v>
      </x:c>
      <x:c r="C1156" s="30" t="n">
        <x:v>13970</x:v>
      </x:c>
      <x:c r="D1156" s="32" t="str">
        <x:v>Fan-tailed Widowbird</x:v>
      </x:c>
      <x:c r="E1156" s="32" t="str">
        <x:v>Euplectes axillaris</x:v>
      </x:c>
      <x:c r="F1156" s="30" t="str">
        <x:v>common</x:v>
      </x:c>
      <x:c r="G1156" s="30" t="str">
        <x:v>standard</x:v>
      </x:c>
      <x:c r="H1156" s="30" t="str">
        <x:v>year-round</x:v>
      </x:c>
      <x:c r="I11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7">
      <x:c r="A1157" s="36" t="str">
        <x:v>east_africa</x:v>
      </x:c>
      <x:c r="B1157" s="30" t="str">
        <x:v>east-africa-broad-draft-1</x:v>
      </x:c>
      <x:c r="C1157" s="30" t="n">
        <x:v>145030</x:v>
      </x:c>
      <x:c r="D1157" s="32" t="str">
        <x:v>White-browed Scrub-Robin</x:v>
      </x:c>
      <x:c r="E1157" s="32" t="str">
        <x:v>Cercotrichas leucophrys</x:v>
      </x:c>
      <x:c r="F1157" s="30" t="str">
        <x:v>common</x:v>
      </x:c>
      <x:c r="G1157" s="30" t="str">
        <x:v>standard</x:v>
      </x:c>
      <x:c r="H1157" s="30" t="str">
        <x:v>year-round</x:v>
      </x:c>
      <x:c r="I11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8">
      <x:c r="A1158" s="36" t="str">
        <x:v>east_africa</x:v>
      </x:c>
      <x:c r="B1158" s="30" t="str">
        <x:v>east-africa-broad-draft-1</x:v>
      </x:c>
      <x:c r="C1158" s="30" t="n">
        <x:v>2266</x:v>
      </x:c>
      <x:c r="D1158" s="32" t="str">
        <x:v>European Roller</x:v>
      </x:c>
      <x:c r="E1158" s="32" t="str">
        <x:v>Coracias garrulus</x:v>
      </x:c>
      <x:c r="F1158" s="30" t="str">
        <x:v>common</x:v>
      </x:c>
      <x:c r="G1158" s="30" t="str">
        <x:v>standard</x:v>
      </x:c>
      <x:c r="H1158" s="30" t="str">
        <x:v>year-round</x:v>
      </x:c>
      <x:c r="I11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59">
      <x:c r="A1159" s="36" t="str">
        <x:v>east_africa</x:v>
      </x:c>
      <x:c r="B1159" s="30" t="str">
        <x:v>east-africa-broad-draft-1</x:v>
      </x:c>
      <x:c r="C1159" s="30" t="n">
        <x:v>204554</x:v>
      </x:c>
      <x:c r="D1159" s="32" t="str">
        <x:v>Red-winged Starling</x:v>
      </x:c>
      <x:c r="E1159" s="32" t="str">
        <x:v>Onychognathus morio</x:v>
      </x:c>
      <x:c r="F1159" s="30" t="str">
        <x:v>common</x:v>
      </x:c>
      <x:c r="G1159" s="30" t="str">
        <x:v>standard</x:v>
      </x:c>
      <x:c r="H1159" s="30" t="str">
        <x:v>year-round</x:v>
      </x:c>
      <x:c r="I11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0">
      <x:c r="A1160" s="36" t="str">
        <x:v>east_africa</x:v>
      </x:c>
      <x:c r="B1160" s="30" t="str">
        <x:v>east-africa-broad-draft-1</x:v>
      </x:c>
      <x:c r="C1160" s="30" t="n">
        <x:v>15063</x:v>
      </x:c>
      <x:c r="D1160" s="32" t="str">
        <x:v>Black-lored Babbler</x:v>
      </x:c>
      <x:c r="E1160" s="32" t="str">
        <x:v>Turdoides sharpei</x:v>
      </x:c>
      <x:c r="F1160" s="30" t="str">
        <x:v>common</x:v>
      </x:c>
      <x:c r="G1160" s="30" t="str">
        <x:v>standard</x:v>
      </x:c>
      <x:c r="H1160" s="30" t="str">
        <x:v>year-round</x:v>
      </x:c>
      <x:c r="I11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1">
      <x:c r="A1161" s="36" t="str">
        <x:v>east_africa</x:v>
      </x:c>
      <x:c r="B1161" s="30" t="str">
        <x:v>east-africa-broad-draft-1</x:v>
      </x:c>
      <x:c r="C1161" s="30" t="n">
        <x:v>5437</x:v>
      </x:c>
      <x:c r="D1161" s="32" t="str">
        <x:v>Abyssinian Ground-Hornbill</x:v>
      </x:c>
      <x:c r="E1161" s="32" t="str">
        <x:v>Bucorvus abyssinicus</x:v>
      </x:c>
      <x:c r="F1161" s="30" t="str">
        <x:v>common</x:v>
      </x:c>
      <x:c r="G1161" s="30" t="str">
        <x:v>standard</x:v>
      </x:c>
      <x:c r="H1161" s="30" t="str">
        <x:v>year-round</x:v>
      </x:c>
      <x:c r="I11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2">
      <x:c r="A1162" s="36" t="str">
        <x:v>east_africa</x:v>
      </x:c>
      <x:c r="B1162" s="30" t="str">
        <x:v>east-africa-broad-draft-1</x:v>
      </x:c>
      <x:c r="C1162" s="30" t="n">
        <x:v>8004</x:v>
      </x:c>
      <x:c r="D1162" s="32" t="str">
        <x:v>White-necked Raven</x:v>
      </x:c>
      <x:c r="E1162" s="32" t="str">
        <x:v>Corvus albicollis</x:v>
      </x:c>
      <x:c r="F1162" s="30" t="str">
        <x:v>common</x:v>
      </x:c>
      <x:c r="G1162" s="30" t="str">
        <x:v>standard</x:v>
      </x:c>
      <x:c r="H1162" s="30" t="str">
        <x:v>year-round</x:v>
      </x:c>
      <x:c r="I11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3">
      <x:c r="A1163" s="36" t="str">
        <x:v>east_africa</x:v>
      </x:c>
      <x:c r="B1163" s="30" t="str">
        <x:v>east-africa-broad-draft-1</x:v>
      </x:c>
      <x:c r="C1163" s="30" t="n">
        <x:v>14148</x:v>
      </x:c>
      <x:c r="D1163" s="32" t="str">
        <x:v>Red-headed Weaver</x:v>
      </x:c>
      <x:c r="E1163" s="32" t="str">
        <x:v>Anaplectes rubriceps</x:v>
      </x:c>
      <x:c r="F1163" s="30" t="str">
        <x:v>common</x:v>
      </x:c>
      <x:c r="G1163" s="30" t="str">
        <x:v>standard</x:v>
      </x:c>
      <x:c r="H1163" s="30" t="str">
        <x:v>year-round</x:v>
      </x:c>
      <x:c r="I11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4">
      <x:c r="A1164" s="36" t="str">
        <x:v>east_africa</x:v>
      </x:c>
      <x:c r="B1164" s="30" t="str">
        <x:v>east-africa-broad-draft-1</x:v>
      </x:c>
      <x:c r="C1164" s="30" t="n">
        <x:v>12874</x:v>
      </x:c>
      <x:c r="D1164" s="32" t="str">
        <x:v>Sooty Chat</x:v>
      </x:c>
      <x:c r="E1164" s="32" t="str">
        <x:v>Myrmecocichla nigra</x:v>
      </x:c>
      <x:c r="F1164" s="30" t="str">
        <x:v>common</x:v>
      </x:c>
      <x:c r="G1164" s="30" t="str">
        <x:v>standard</x:v>
      </x:c>
      <x:c r="H1164" s="30" t="str">
        <x:v>year-round</x:v>
      </x:c>
      <x:c r="I11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5">
      <x:c r="A1165" s="36" t="str">
        <x:v>east_africa</x:v>
      </x:c>
      <x:c r="B1165" s="30" t="str">
        <x:v>east-africa-broad-draft-1</x:v>
      </x:c>
      <x:c r="C1165" s="30" t="n">
        <x:v>14143</x:v>
      </x:c>
      <x:c r="D1165" s="32" t="str">
        <x:v>Red-billed Buffalo-Weaver</x:v>
      </x:c>
      <x:c r="E1165" s="32" t="str">
        <x:v>Bubalornis niger</x:v>
      </x:c>
      <x:c r="F1165" s="30" t="str">
        <x:v>common</x:v>
      </x:c>
      <x:c r="G1165" s="30" t="str">
        <x:v>standard</x:v>
      </x:c>
      <x:c r="H1165" s="30" t="str">
        <x:v>year-round</x:v>
      </x:c>
      <x:c r="I11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6">
      <x:c r="A1166" s="36" t="str">
        <x:v>east_africa</x:v>
      </x:c>
      <x:c r="B1166" s="30" t="str">
        <x:v>east-africa-broad-draft-1</x:v>
      </x:c>
      <x:c r="C1166" s="30" t="n">
        <x:v>8208</x:v>
      </x:c>
      <x:c r="D1166" s="32" t="str">
        <x:v>Black-headed Gonolek</x:v>
      </x:c>
      <x:c r="E1166" s="32" t="str">
        <x:v>Laniarius erythrogaster</x:v>
      </x:c>
      <x:c r="F1166" s="30" t="str">
        <x:v>common</x:v>
      </x:c>
      <x:c r="G1166" s="30" t="str">
        <x:v>standard</x:v>
      </x:c>
      <x:c r="H1166" s="30" t="str">
        <x:v>year-round</x:v>
      </x:c>
      <x:c r="I11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7">
      <x:c r="A1167" s="36" t="str">
        <x:v>east_africa</x:v>
      </x:c>
      <x:c r="B1167" s="30" t="str">
        <x:v>east-africa-broad-draft-1</x:v>
      </x:c>
      <x:c r="C1167" s="30" t="n">
        <x:v>12985</x:v>
      </x:c>
      <x:c r="D1167" s="32" t="str">
        <x:v>Swamp Flycatcher</x:v>
      </x:c>
      <x:c r="E1167" s="32" t="str">
        <x:v>Muscicapa aquatica</x:v>
      </x:c>
      <x:c r="F1167" s="30" t="str">
        <x:v>common</x:v>
      </x:c>
      <x:c r="G1167" s="30" t="str">
        <x:v>standard</x:v>
      </x:c>
      <x:c r="H1167" s="30" t="str">
        <x:v>year-round</x:v>
      </x:c>
      <x:c r="I11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8">
      <x:c r="A1168" s="36" t="str">
        <x:v>east_africa</x:v>
      </x:c>
      <x:c r="B1168" s="30" t="str">
        <x:v>east-africa-broad-draft-1</x:v>
      </x:c>
      <x:c r="C1168" s="30" t="n">
        <x:v>117083</x:v>
      </x:c>
      <x:c r="D1168" s="32" t="str">
        <x:v>Chestnut-bellied Sandgrouse</x:v>
      </x:c>
      <x:c r="E1168" s="32" t="str">
        <x:v>Pterocles exustus</x:v>
      </x:c>
      <x:c r="F1168" s="30" t="str">
        <x:v>common</x:v>
      </x:c>
      <x:c r="G1168" s="30" t="str">
        <x:v>standard</x:v>
      </x:c>
      <x:c r="H1168" s="30" t="str">
        <x:v>year-round</x:v>
      </x:c>
      <x:c r="I11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69">
      <x:c r="A1169" s="36" t="str">
        <x:v>east_africa</x:v>
      </x:c>
      <x:c r="B1169" s="30" t="str">
        <x:v>east-africa-broad-draft-1</x:v>
      </x:c>
      <x:c r="C1169" s="30" t="n">
        <x:v>1506260</x:v>
      </x:c>
      <x:c r="D1169" s="32" t="str">
        <x:v>Cardinal Woodpecker</x:v>
      </x:c>
      <x:c r="E1169" s="32" t="str">
        <x:v>Dendropicos fuscescens</x:v>
      </x:c>
      <x:c r="F1169" s="30" t="str">
        <x:v>common</x:v>
      </x:c>
      <x:c r="G1169" s="30" t="str">
        <x:v>standard</x:v>
      </x:c>
      <x:c r="H1169" s="30" t="str">
        <x:v>year-round</x:v>
      </x:c>
      <x:c r="I11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0">
      <x:c r="A1170" s="36" t="str">
        <x:v>east_africa</x:v>
      </x:c>
      <x:c r="B1170" s="30" t="str">
        <x:v>east-africa-broad-draft-1</x:v>
      </x:c>
      <x:c r="C1170" s="30" t="n">
        <x:v>72762</x:v>
      </x:c>
      <x:c r="D1170" s="32" t="str">
        <x:v>Magpie Shrike</x:v>
      </x:c>
      <x:c r="E1170" s="32" t="str">
        <x:v>Urolestes melanoleucus</x:v>
      </x:c>
      <x:c r="F1170" s="30" t="str">
        <x:v>common</x:v>
      </x:c>
      <x:c r="G1170" s="30" t="str">
        <x:v>standard</x:v>
      </x:c>
      <x:c r="H1170" s="30" t="str">
        <x:v>year-round</x:v>
      </x:c>
      <x:c r="I11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1">
      <x:c r="A1171" s="36" t="str">
        <x:v>east_africa</x:v>
      </x:c>
      <x:c r="B1171" s="30" t="str">
        <x:v>east-africa-broad-draft-1</x:v>
      </x:c>
      <x:c r="C1171" s="30" t="n">
        <x:v>2288</x:v>
      </x:c>
      <x:c r="D1171" s="32" t="str">
        <x:v>Broad-billed Roller</x:v>
      </x:c>
      <x:c r="E1171" s="32" t="str">
        <x:v>Eurystomus glaucurus</x:v>
      </x:c>
      <x:c r="F1171" s="30" t="str">
        <x:v>common</x:v>
      </x:c>
      <x:c r="G1171" s="30" t="str">
        <x:v>standard</x:v>
      </x:c>
      <x:c r="H1171" s="30" t="str">
        <x:v>year-round</x:v>
      </x:c>
      <x:c r="I11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2">
      <x:c r="A1172" s="36" t="str">
        <x:v>east_africa</x:v>
      </x:c>
      <x:c r="B1172" s="30" t="str">
        <x:v>east-africa-broad-draft-1</x:v>
      </x:c>
      <x:c r="C1172" s="30" t="n">
        <x:v>1585912</x:v>
      </x:c>
      <x:c r="D1172" s="32" t="str">
        <x:v>Cape Robin-Chat</x:v>
      </x:c>
      <x:c r="E1172" s="32" t="str">
        <x:v>Dessonornis caffer</x:v>
      </x:c>
      <x:c r="F1172" s="30" t="str">
        <x:v>common</x:v>
      </x:c>
      <x:c r="G1172" s="30" t="str">
        <x:v>standard</x:v>
      </x:c>
      <x:c r="H1172" s="30" t="str">
        <x:v>year-round</x:v>
      </x:c>
      <x:c r="I11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3">
      <x:c r="A1173" s="36" t="str">
        <x:v>east_africa</x:v>
      </x:c>
      <x:c r="B1173" s="30" t="str">
        <x:v>east-africa-broad-draft-1</x:v>
      </x:c>
      <x:c r="C1173" s="30" t="n">
        <x:v>1584771</x:v>
      </x:c>
      <x:c r="D1173" s="32" t="str">
        <x:v>African red-rumped swallow</x:v>
      </x:c>
      <x:c r="E1173" s="32" t="str">
        <x:v>Cecropis melanocrissus</x:v>
      </x:c>
      <x:c r="F1173" s="30" t="str">
        <x:v>common</x:v>
      </x:c>
      <x:c r="G1173" s="30" t="str">
        <x:v>standard</x:v>
      </x:c>
      <x:c r="H1173" s="30" t="str">
        <x:v>year-round</x:v>
      </x:c>
      <x:c r="I11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4">
      <x:c r="A1174" s="36" t="str">
        <x:v>east_africa</x:v>
      </x:c>
      <x:c r="B1174" s="30" t="str">
        <x:v>east-africa-broad-draft-1</x:v>
      </x:c>
      <x:c r="C1174" s="30" t="n">
        <x:v>12971</x:v>
      </x:c>
      <x:c r="D1174" s="32" t="str">
        <x:v>Spotted Flycatcher</x:v>
      </x:c>
      <x:c r="E1174" s="32" t="str">
        <x:v>Muscicapa striata</x:v>
      </x:c>
      <x:c r="F1174" s="30" t="str">
        <x:v>common</x:v>
      </x:c>
      <x:c r="G1174" s="30" t="str">
        <x:v>standard</x:v>
      </x:c>
      <x:c r="H1174" s="30" t="str">
        <x:v>year-round</x:v>
      </x:c>
      <x:c r="I11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5">
      <x:c r="A1175" s="36" t="str">
        <x:v>east_africa</x:v>
      </x:c>
      <x:c r="B1175" s="30" t="str">
        <x:v>east-africa-broad-draft-1</x:v>
      </x:c>
      <x:c r="C1175" s="30" t="n">
        <x:v>1506400</x:v>
      </x:c>
      <x:c r="D1175" s="32" t="str">
        <x:v>Eastern Grey Woodpecker</x:v>
      </x:c>
      <x:c r="E1175" s="32" t="str">
        <x:v>Dendropicos spodocephalus</x:v>
      </x:c>
      <x:c r="F1175" s="30" t="str">
        <x:v>common</x:v>
      </x:c>
      <x:c r="G1175" s="30" t="str">
        <x:v>standard</x:v>
      </x:c>
      <x:c r="H1175" s="30" t="str">
        <x:v>year-round</x:v>
      </x:c>
      <x:c r="I11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6">
      <x:c r="A1176" s="36" t="str">
        <x:v>east_africa</x:v>
      </x:c>
      <x:c r="B1176" s="30" t="str">
        <x:v>east-africa-broad-draft-1</x:v>
      </x:c>
      <x:c r="C1176" s="30" t="n">
        <x:v>144469</x:v>
      </x:c>
      <x:c r="D1176" s="32" t="str">
        <x:v>Wahlberg's Eagle</x:v>
      </x:c>
      <x:c r="E1176" s="32" t="str">
        <x:v>Hieraaetus wahlbergi</x:v>
      </x:c>
      <x:c r="F1176" s="30" t="str">
        <x:v>common</x:v>
      </x:c>
      <x:c r="G1176" s="30" t="str">
        <x:v>standard</x:v>
      </x:c>
      <x:c r="H1176" s="30" t="str">
        <x:v>year-round</x:v>
      </x:c>
      <x:c r="I11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7">
      <x:c r="A1177" s="36" t="str">
        <x:v>east_africa</x:v>
      </x:c>
      <x:c r="B1177" s="30" t="str">
        <x:v>east-africa-broad-draft-1</x:v>
      </x:c>
      <x:c r="C1177" s="30" t="n">
        <x:v>14030</x:v>
      </x:c>
      <x:c r="D1177" s="32" t="str">
        <x:v>Blue-capped Cordonbleu</x:v>
      </x:c>
      <x:c r="E1177" s="32" t="str">
        <x:v>Uraeginthus cyanocephalus</x:v>
      </x:c>
      <x:c r="F1177" s="30" t="str">
        <x:v>common</x:v>
      </x:c>
      <x:c r="G1177" s="30" t="str">
        <x:v>standard</x:v>
      </x:c>
      <x:c r="H1177" s="30" t="str">
        <x:v>year-round</x:v>
      </x:c>
      <x:c r="I11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8">
      <x:c r="A1178" s="36" t="str">
        <x:v>east_africa</x:v>
      </x:c>
      <x:c r="B1178" s="30" t="str">
        <x:v>east-africa-broad-draft-1</x:v>
      </x:c>
      <x:c r="C1178" s="30" t="n">
        <x:v>4338</x:v>
      </x:c>
      <x:c r="D1178" s="32" t="str">
        <x:v>Shoebill</x:v>
      </x:c>
      <x:c r="E1178" s="32" t="str">
        <x:v>Balaeniceps rex</x:v>
      </x:c>
      <x:c r="F1178" s="30" t="str">
        <x:v>common</x:v>
      </x:c>
      <x:c r="G1178" s="30" t="str">
        <x:v>standard</x:v>
      </x:c>
      <x:c r="H1178" s="30" t="str">
        <x:v>year-round</x:v>
      </x:c>
      <x:c r="I11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79">
      <x:c r="A1179" s="36" t="str">
        <x:v>east_africa</x:v>
      </x:c>
      <x:c r="B1179" s="30" t="str">
        <x:v>east-africa-broad-draft-1</x:v>
      </x:c>
      <x:c r="C1179" s="30" t="n">
        <x:v>569791</x:v>
      </x:c>
      <x:c r="D1179" s="32" t="str">
        <x:v>Winding Cisticola</x:v>
      </x:c>
      <x:c r="E1179" s="32" t="str">
        <x:v>Cisticola marginatus</x:v>
      </x:c>
      <x:c r="F1179" s="30" t="str">
        <x:v>common</x:v>
      </x:c>
      <x:c r="G1179" s="30" t="str">
        <x:v>standard</x:v>
      </x:c>
      <x:c r="H1179" s="30" t="str">
        <x:v>year-round</x:v>
      </x:c>
      <x:c r="I11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0">
      <x:c r="A1180" s="36" t="str">
        <x:v>east_africa</x:v>
      </x:c>
      <x:c r="B1180" s="30" t="str">
        <x:v>east-africa-broad-draft-1</x:v>
      </x:c>
      <x:c r="C1180" s="30" t="n">
        <x:v>4724</x:v>
      </x:c>
      <x:c r="D1180" s="32" t="str">
        <x:v>Pygmy Falcon</x:v>
      </x:c>
      <x:c r="E1180" s="32" t="str">
        <x:v>Polihierax semitorquatus</x:v>
      </x:c>
      <x:c r="F1180" s="30" t="str">
        <x:v>common</x:v>
      </x:c>
      <x:c r="G1180" s="30" t="str">
        <x:v>standard</x:v>
      </x:c>
      <x:c r="H1180" s="30" t="str">
        <x:v>year-round</x:v>
      </x:c>
      <x:c r="I11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1">
      <x:c r="A1181" s="36" t="str">
        <x:v>east_africa</x:v>
      </x:c>
      <x:c r="B1181" s="30" t="str">
        <x:v>east-africa-broad-draft-1</x:v>
      </x:c>
      <x:c r="C1181" s="30" t="n">
        <x:v>2245</x:v>
      </x:c>
      <x:c r="D1181" s="32" t="str">
        <x:v>Blue-cheeked Bee-eater</x:v>
      </x:c>
      <x:c r="E1181" s="32" t="str">
        <x:v>Merops persicus</x:v>
      </x:c>
      <x:c r="F1181" s="30" t="str">
        <x:v>common</x:v>
      </x:c>
      <x:c r="G1181" s="30" t="str">
        <x:v>standard</x:v>
      </x:c>
      <x:c r="H1181" s="30" t="str">
        <x:v>year-round</x:v>
      </x:c>
      <x:c r="I11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2">
      <x:c r="A1182" s="36" t="str">
        <x:v>east_africa</x:v>
      </x:c>
      <x:c r="B1182" s="30" t="str">
        <x:v>east-africa-broad-draft-1</x:v>
      </x:c>
      <x:c r="C1182" s="30" t="n">
        <x:v>13820</x:v>
      </x:c>
      <x:c r="D1182" s="32" t="str">
        <x:v>Holub's Golden-Weaver</x:v>
      </x:c>
      <x:c r="E1182" s="32" t="str">
        <x:v>Ploceus xanthops</x:v>
      </x:c>
      <x:c r="F1182" s="30" t="str">
        <x:v>common</x:v>
      </x:c>
      <x:c r="G1182" s="30" t="str">
        <x:v>standard</x:v>
      </x:c>
      <x:c r="H1182" s="30" t="str">
        <x:v>year-round</x:v>
      </x:c>
      <x:c r="I11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3">
      <x:c r="A1183" s="36" t="str">
        <x:v>east_africa</x:v>
      </x:c>
      <x:c r="B1183" s="30" t="str">
        <x:v>east-africa-broad-draft-1</x:v>
      </x:c>
      <x:c r="C1183" s="30" t="n">
        <x:v>7876</x:v>
      </x:c>
      <x:c r="D1183" s="32" t="str">
        <x:v>Black-headed Oriole</x:v>
      </x:c>
      <x:c r="E1183" s="32" t="str">
        <x:v>Oriolus larvatus</x:v>
      </x:c>
      <x:c r="F1183" s="30" t="str">
        <x:v>common</x:v>
      </x:c>
      <x:c r="G1183" s="30" t="str">
        <x:v>standard</x:v>
      </x:c>
      <x:c r="H1183" s="30" t="str">
        <x:v>year-round</x:v>
      </x:c>
      <x:c r="I11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4">
      <x:c r="A1184" s="36" t="str">
        <x:v>east_africa</x:v>
      </x:c>
      <x:c r="B1184" s="30" t="str">
        <x:v>east-africa-broad-draft-1</x:v>
      </x:c>
      <x:c r="C1184" s="30" t="n">
        <x:v>1505778</x:v>
      </x:c>
      <x:c r="D1184" s="32" t="str">
        <x:v>Yellow-billed Egret</x:v>
      </x:c>
      <x:c r="E1184" s="32" t="str">
        <x:v>Ardea brachyrhyncha</x:v>
      </x:c>
      <x:c r="F1184" s="30" t="str">
        <x:v>common</x:v>
      </x:c>
      <x:c r="G1184" s="30" t="str">
        <x:v>standard</x:v>
      </x:c>
      <x:c r="H1184" s="30" t="str">
        <x:v>year-round</x:v>
      </x:c>
      <x:c r="I11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5">
      <x:c r="A1185" s="36" t="str">
        <x:v>east_africa</x:v>
      </x:c>
      <x:c r="B1185" s="30" t="str">
        <x:v>east-africa-broad-draft-1</x:v>
      </x:c>
      <x:c r="C1185" s="30" t="n">
        <x:v>144536</x:v>
      </x:c>
      <x:c r="D1185" s="32" t="str">
        <x:v>Gull-billed Tern</x:v>
      </x:c>
      <x:c r="E1185" s="32" t="str">
        <x:v>Gelochelidon nilotica</x:v>
      </x:c>
      <x:c r="F1185" s="30" t="str">
        <x:v>common</x:v>
      </x:c>
      <x:c r="G1185" s="30" t="str">
        <x:v>standard</x:v>
      </x:c>
      <x:c r="H1185" s="30" t="str">
        <x:v>year-round</x:v>
      </x:c>
      <x:c r="I11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6">
      <x:c r="A1186" s="36" t="str">
        <x:v>east_africa</x:v>
      </x:c>
      <x:c r="B1186" s="30" t="str">
        <x:v>east-africa-broad-draft-1</x:v>
      </x:c>
      <x:c r="C1186" s="30" t="n">
        <x:v>13837</x:v>
      </x:c>
      <x:c r="D1186" s="32" t="str">
        <x:v>Spectacled Weaver</x:v>
      </x:c>
      <x:c r="E1186" s="32" t="str">
        <x:v>Ploceus ocularis</x:v>
      </x:c>
      <x:c r="F1186" s="30" t="str">
        <x:v>common</x:v>
      </x:c>
      <x:c r="G1186" s="30" t="str">
        <x:v>standard</x:v>
      </x:c>
      <x:c r="H1186" s="30" t="str">
        <x:v>year-round</x:v>
      </x:c>
      <x:c r="I11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7">
      <x:c r="A1187" s="36" t="str">
        <x:v>east_africa</x:v>
      </x:c>
      <x:c r="B1187" s="30" t="str">
        <x:v>east-africa-broad-draft-1</x:v>
      </x:c>
      <x:c r="C1187" s="30" t="n">
        <x:v>4922</x:v>
      </x:c>
      <x:c r="D1187" s="32" t="str">
        <x:v>Spotted Thick-knee</x:v>
      </x:c>
      <x:c r="E1187" s="32" t="str">
        <x:v>Burhinus capensis</x:v>
      </x:c>
      <x:c r="F1187" s="30" t="str">
        <x:v>common</x:v>
      </x:c>
      <x:c r="G1187" s="30" t="str">
        <x:v>standard</x:v>
      </x:c>
      <x:c r="H1187" s="30" t="str">
        <x:v>year-round</x:v>
      </x:c>
      <x:c r="I11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8">
      <x:c r="A1188" s="36" t="str">
        <x:v>east_africa</x:v>
      </x:c>
      <x:c r="B1188" s="30" t="str">
        <x:v>east-africa-broad-draft-1</x:v>
      </x:c>
      <x:c r="C1188" s="30" t="n">
        <x:v>13188</x:v>
      </x:c>
      <x:c r="D1188" s="32" t="str">
        <x:v>Northern Black-Flycatcher</x:v>
      </x:c>
      <x:c r="E1188" s="32" t="str">
        <x:v>Melaenornis edolioides</x:v>
      </x:c>
      <x:c r="F1188" s="30" t="str">
        <x:v>common</x:v>
      </x:c>
      <x:c r="G1188" s="30" t="str">
        <x:v>standard</x:v>
      </x:c>
      <x:c r="H1188" s="30" t="str">
        <x:v>year-round</x:v>
      </x:c>
      <x:c r="I11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89">
      <x:c r="A1189" s="36" t="str">
        <x:v>east_africa</x:v>
      </x:c>
      <x:c r="B1189" s="30" t="str">
        <x:v>east-africa-broad-draft-1</x:v>
      </x:c>
      <x:c r="C1189" s="30" t="n">
        <x:v>13708</x:v>
      </x:c>
      <x:c r="D1189" s="32" t="str">
        <x:v>Plain-backed Pipit</x:v>
      </x:c>
      <x:c r="E1189" s="32" t="str">
        <x:v>Anthus leucophrys</x:v>
      </x:c>
      <x:c r="F1189" s="30" t="str">
        <x:v>common</x:v>
      </x:c>
      <x:c r="G1189" s="30" t="str">
        <x:v>standard</x:v>
      </x:c>
      <x:c r="H1189" s="30" t="str">
        <x:v>year-round</x:v>
      </x:c>
      <x:c r="I11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0">
      <x:c r="A1190" s="36" t="str">
        <x:v>east_africa</x:v>
      </x:c>
      <x:c r="B1190" s="30" t="str">
        <x:v>east-africa-broad-draft-1</x:v>
      </x:c>
      <x:c r="C1190" s="30" t="n">
        <x:v>19076</x:v>
      </x:c>
      <x:c r="D1190" s="32" t="str">
        <x:v>Yellow-collared Lovebird</x:v>
      </x:c>
      <x:c r="E1190" s="32" t="str">
        <x:v>Agapornis personatus</x:v>
      </x:c>
      <x:c r="F1190" s="30" t="str">
        <x:v>common</x:v>
      </x:c>
      <x:c r="G1190" s="30" t="str">
        <x:v>standard</x:v>
      </x:c>
      <x:c r="H1190" s="30" t="str">
        <x:v>year-round</x:v>
      </x:c>
      <x:c r="I11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1">
      <x:c r="A1191" s="36" t="str">
        <x:v>east_africa</x:v>
      </x:c>
      <x:c r="B1191" s="30" t="str">
        <x:v>east-africa-broad-draft-1</x:v>
      </x:c>
      <x:c r="C1191" s="30" t="n">
        <x:v>19055</x:v>
      </x:c>
      <x:c r="D1191" s="32" t="str">
        <x:v>Meyer's Parrot</x:v>
      </x:c>
      <x:c r="E1191" s="32" t="str">
        <x:v>Poicephalus meyeri</x:v>
      </x:c>
      <x:c r="F1191" s="30" t="str">
        <x:v>common</x:v>
      </x:c>
      <x:c r="G1191" s="30" t="str">
        <x:v>standard</x:v>
      </x:c>
      <x:c r="H1191" s="30" t="str">
        <x:v>year-round</x:v>
      </x:c>
      <x:c r="I11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2">
      <x:c r="A1192" s="36" t="str">
        <x:v>east_africa</x:v>
      </x:c>
      <x:c r="B1192" s="30" t="str">
        <x:v>east-africa-broad-draft-1</x:v>
      </x:c>
      <x:c r="C1192" s="30" t="n">
        <x:v>14064</x:v>
      </x:c>
      <x:c r="D1192" s="32" t="str">
        <x:v>Grosbeak Weaver</x:v>
      </x:c>
      <x:c r="E1192" s="32" t="str">
        <x:v>Amblyospiza albifrons</x:v>
      </x:c>
      <x:c r="F1192" s="30" t="str">
        <x:v>common</x:v>
      </x:c>
      <x:c r="G1192" s="30" t="str">
        <x:v>standard</x:v>
      </x:c>
      <x:c r="H1192" s="30" t="str">
        <x:v>year-round</x:v>
      </x:c>
      <x:c r="I11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3">
      <x:c r="A1193" s="36" t="str">
        <x:v>east_africa</x:v>
      </x:c>
      <x:c r="B1193" s="30" t="str">
        <x:v>east-africa-broad-draft-1</x:v>
      </x:c>
      <x:c r="C1193" s="30" t="n">
        <x:v>13964</x:v>
      </x:c>
      <x:c r="D1193" s="32" t="str">
        <x:v>Yellow Bishop</x:v>
      </x:c>
      <x:c r="E1193" s="32" t="str">
        <x:v>Euplectes capensis</x:v>
      </x:c>
      <x:c r="F1193" s="30" t="str">
        <x:v>common</x:v>
      </x:c>
      <x:c r="G1193" s="30" t="str">
        <x:v>standard</x:v>
      </x:c>
      <x:c r="H1193" s="30" t="str">
        <x:v>year-round</x:v>
      </x:c>
      <x:c r="I11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4">
      <x:c r="A1194" s="36" t="str">
        <x:v>east_africa</x:v>
      </x:c>
      <x:c r="B1194" s="30" t="str">
        <x:v>east-africa-broad-draft-1</x:v>
      </x:c>
      <x:c r="C1194" s="30" t="n">
        <x:v>204473</x:v>
      </x:c>
      <x:c r="D1194" s="32" t="str">
        <x:v>Red-capped Lark</x:v>
      </x:c>
      <x:c r="E1194" s="32" t="str">
        <x:v>Calandrella cinerea</x:v>
      </x:c>
      <x:c r="F1194" s="30" t="str">
        <x:v>common</x:v>
      </x:c>
      <x:c r="G1194" s="30" t="str">
        <x:v>standard</x:v>
      </x:c>
      <x:c r="H1194" s="30" t="str">
        <x:v>year-round</x:v>
      </x:c>
      <x:c r="I11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5">
      <x:c r="A1195" s="36" t="str">
        <x:v>east_africa</x:v>
      </x:c>
      <x:c r="B1195" s="30" t="str">
        <x:v>east-africa-broad-draft-1</x:v>
      </x:c>
      <x:c r="C1195" s="30" t="n">
        <x:v>117084</x:v>
      </x:c>
      <x:c r="D1195" s="32" t="str">
        <x:v>Yellow-throated Sandgrouse</x:v>
      </x:c>
      <x:c r="E1195" s="32" t="str">
        <x:v>Pterocles gutturalis</x:v>
      </x:c>
      <x:c r="F1195" s="30" t="str">
        <x:v>common</x:v>
      </x:c>
      <x:c r="G1195" s="30" t="str">
        <x:v>standard</x:v>
      </x:c>
      <x:c r="H1195" s="30" t="str">
        <x:v>year-round</x:v>
      </x:c>
      <x:c r="I11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6">
      <x:c r="A1196" s="36" t="str">
        <x:v>east_africa</x:v>
      </x:c>
      <x:c r="B1196" s="30" t="str">
        <x:v>east-africa-broad-draft-1</x:v>
      </x:c>
      <x:c r="C1196" s="30" t="n">
        <x:v>4883</x:v>
      </x:c>
      <x:c r="D1196" s="32" t="str">
        <x:v>Pied Avocet</x:v>
      </x:c>
      <x:c r="E1196" s="32" t="str">
        <x:v>Recurvirostra avosetta</x:v>
      </x:c>
      <x:c r="F1196" s="30" t="str">
        <x:v>common</x:v>
      </x:c>
      <x:c r="G1196" s="30" t="str">
        <x:v>standard</x:v>
      </x:c>
      <x:c r="H1196" s="30" t="str">
        <x:v>year-round</x:v>
      </x:c>
      <x:c r="I11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7">
      <x:c r="A1197" s="36" t="str">
        <x:v>east_africa</x:v>
      </x:c>
      <x:c r="B1197" s="30" t="str">
        <x:v>east-africa-broad-draft-1</x:v>
      </x:c>
      <x:c r="C1197" s="30" t="n">
        <x:v>12837</x:v>
      </x:c>
      <x:c r="D1197" s="32" t="str">
        <x:v>Isabelline Wheatear</x:v>
      </x:c>
      <x:c r="E1197" s="32" t="str">
        <x:v>Oenanthe isabellina</x:v>
      </x:c>
      <x:c r="F1197" s="30" t="str">
        <x:v>common</x:v>
      </x:c>
      <x:c r="G1197" s="30" t="str">
        <x:v>standard</x:v>
      </x:c>
      <x:c r="H1197" s="30" t="str">
        <x:v>year-round</x:v>
      </x:c>
      <x:c r="I11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8">
      <x:c r="A1198" s="36" t="str">
        <x:v>east_africa</x:v>
      </x:c>
      <x:c r="B1198" s="30" t="str">
        <x:v>east-africa-broad-draft-1</x:v>
      </x:c>
      <x:c r="C1198" s="30" t="n">
        <x:v>117139</x:v>
      </x:c>
      <x:c r="D1198" s="32" t="str">
        <x:v>Spot-flanked Barbet</x:v>
      </x:c>
      <x:c r="E1198" s="32" t="str">
        <x:v>Tricholaema lacrymosa</x:v>
      </x:c>
      <x:c r="F1198" s="30" t="str">
        <x:v>common</x:v>
      </x:c>
      <x:c r="G1198" s="30" t="str">
        <x:v>standard</x:v>
      </x:c>
      <x:c r="H1198" s="30" t="str">
        <x:v>year-round</x:v>
      </x:c>
      <x:c r="I11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199">
      <x:c r="A1199" s="36" t="str">
        <x:v>east_africa</x:v>
      </x:c>
      <x:c r="B1199" s="30" t="str">
        <x:v>east-africa-broad-draft-1</x:v>
      </x:c>
      <x:c r="C1199" s="30" t="n">
        <x:v>6612</x:v>
      </x:c>
      <x:c r="D1199" s="32" t="str">
        <x:v>Little Swift</x:v>
      </x:c>
      <x:c r="E1199" s="32" t="str">
        <x:v>Apus affinis</x:v>
      </x:c>
      <x:c r="F1199" s="30" t="str">
        <x:v>common</x:v>
      </x:c>
      <x:c r="G1199" s="30" t="str">
        <x:v>standard</x:v>
      </x:c>
      <x:c r="H1199" s="30" t="str">
        <x:v>year-round</x:v>
      </x:c>
      <x:c r="I11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0">
      <x:c r="A1200" s="36" t="str">
        <x:v>east_africa</x:v>
      </x:c>
      <x:c r="B1200" s="30" t="str">
        <x:v>east-africa-broad-draft-1</x:v>
      </x:c>
      <x:c r="C1200" s="30" t="n">
        <x:v>1505964</x:v>
      </x:c>
      <x:c r="D1200" s="32" t="str">
        <x:v>Buff-crested Bustard</x:v>
      </x:c>
      <x:c r="E1200" s="32" t="str">
        <x:v>Lophotis gindiana</x:v>
      </x:c>
      <x:c r="F1200" s="30" t="str">
        <x:v>common</x:v>
      </x:c>
      <x:c r="G1200" s="30" t="str">
        <x:v>standard</x:v>
      </x:c>
      <x:c r="H1200" s="30" t="str">
        <x:v>year-round</x:v>
      </x:c>
      <x:c r="I12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1">
      <x:c r="A1201" s="36" t="str">
        <x:v>east_africa</x:v>
      </x:c>
      <x:c r="B1201" s="30" t="str">
        <x:v>east-africa-broad-draft-1</x:v>
      </x:c>
      <x:c r="C1201" s="30" t="n">
        <x:v>3881</x:v>
      </x:c>
      <x:c r="D1201" s="32" t="str">
        <x:v>Marsh Sandpiper</x:v>
      </x:c>
      <x:c r="E1201" s="32" t="str">
        <x:v>Tringa stagnatilis</x:v>
      </x:c>
      <x:c r="F1201" s="30" t="str">
        <x:v>common</x:v>
      </x:c>
      <x:c r="G1201" s="30" t="str">
        <x:v>standard</x:v>
      </x:c>
      <x:c r="H1201" s="30" t="str">
        <x:v>year-round</x:v>
      </x:c>
      <x:c r="I12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2">
      <x:c r="A1202" s="36" t="str">
        <x:v>east_africa</x:v>
      </x:c>
      <x:c r="B1202" s="30" t="str">
        <x:v>east-africa-broad-draft-1</x:v>
      </x:c>
      <x:c r="C1202" s="30" t="n">
        <x:v>4801</x:v>
      </x:c>
      <x:c r="D1202" s="32" t="str">
        <x:v>Common Ringed Plover</x:v>
      </x:c>
      <x:c r="E1202" s="32" t="str">
        <x:v>Charadrius hiaticula</x:v>
      </x:c>
      <x:c r="F1202" s="30" t="str">
        <x:v>common</x:v>
      </x:c>
      <x:c r="G1202" s="30" t="str">
        <x:v>standard</x:v>
      </x:c>
      <x:c r="H1202" s="30" t="str">
        <x:v>year-round</x:v>
      </x:c>
      <x:c r="I12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3">
      <x:c r="A1203" s="36" t="str">
        <x:v>east_africa</x:v>
      </x:c>
      <x:c r="B1203" s="30" t="str">
        <x:v>east-africa-broad-draft-1</x:v>
      </x:c>
      <x:c r="C1203" s="30" t="n">
        <x:v>145170</x:v>
      </x:c>
      <x:c r="D1203" s="32" t="str">
        <x:v>Marico Sunbird</x:v>
      </x:c>
      <x:c r="E1203" s="32" t="str">
        <x:v>Cinnyris mariquensis</x:v>
      </x:c>
      <x:c r="F1203" s="30" t="str">
        <x:v>common</x:v>
      </x:c>
      <x:c r="G1203" s="30" t="str">
        <x:v>standard</x:v>
      </x:c>
      <x:c r="H1203" s="30" t="str">
        <x:v>year-round</x:v>
      </x:c>
      <x:c r="I12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4">
      <x:c r="A1204" s="36" t="str">
        <x:v>east_africa</x:v>
      </x:c>
      <x:c r="B1204" s="30" t="str">
        <x:v>east-africa-broad-draft-1</x:v>
      </x:c>
      <x:c r="C1204" s="30" t="n">
        <x:v>14010</x:v>
      </x:c>
      <x:c r="D1204" s="32" t="str">
        <x:v>Village Indigobird</x:v>
      </x:c>
      <x:c r="E1204" s="32" t="str">
        <x:v>Vidua chalybeata</x:v>
      </x:c>
      <x:c r="F1204" s="30" t="str">
        <x:v>common</x:v>
      </x:c>
      <x:c r="G1204" s="30" t="str">
        <x:v>standard</x:v>
      </x:c>
      <x:c r="H1204" s="30" t="str">
        <x:v>year-round</x:v>
      </x:c>
      <x:c r="I12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5">
      <x:c r="A1205" s="36" t="str">
        <x:v>east_africa</x:v>
      </x:c>
      <x:c r="B1205" s="30" t="str">
        <x:v>east-africa-broad-draft-1</x:v>
      </x:c>
      <x:c r="C1205" s="30" t="n">
        <x:v>4951</x:v>
      </x:c>
      <x:c r="D1205" s="32" t="str">
        <x:v>Purple Heron</x:v>
      </x:c>
      <x:c r="E1205" s="32" t="str">
        <x:v>Ardea purpurea</x:v>
      </x:c>
      <x:c r="F1205" s="30" t="str">
        <x:v>common</x:v>
      </x:c>
      <x:c r="G1205" s="30" t="str">
        <x:v>standard</x:v>
      </x:c>
      <x:c r="H1205" s="30" t="str">
        <x:v>year-round</x:v>
      </x:c>
      <x:c r="I12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6">
      <x:c r="A1206" s="36" t="str">
        <x:v>east_africa</x:v>
      </x:c>
      <x:c r="B1206" s="30" t="str">
        <x:v>east-africa-broad-draft-1</x:v>
      </x:c>
      <x:c r="C1206" s="30" t="n">
        <x:v>13291</x:v>
      </x:c>
      <x:c r="D1206" s="32" t="str">
        <x:v>Tacazze Sunbird</x:v>
      </x:c>
      <x:c r="E1206" s="32" t="str">
        <x:v>Nectarinia tacazze</x:v>
      </x:c>
      <x:c r="F1206" s="30" t="str">
        <x:v>common</x:v>
      </x:c>
      <x:c r="G1206" s="30" t="str">
        <x:v>standard</x:v>
      </x:c>
      <x:c r="H1206" s="30" t="str">
        <x:v>year-round</x:v>
      </x:c>
      <x:c r="I12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7">
      <x:c r="A1207" s="36" t="str">
        <x:v>east_africa</x:v>
      </x:c>
      <x:c r="B1207" s="30" t="str">
        <x:v>east-africa-broad-draft-1</x:v>
      </x:c>
      <x:c r="C1207" s="30" t="n">
        <x:v>20934</x:v>
      </x:c>
      <x:c r="D1207" s="32" t="str">
        <x:v>Green Woodhoopoe</x:v>
      </x:c>
      <x:c r="E1207" s="32" t="str">
        <x:v>Phoeniculus purpureus</x:v>
      </x:c>
      <x:c r="F1207" s="30" t="str">
        <x:v>common</x:v>
      </x:c>
      <x:c r="G1207" s="30" t="str">
        <x:v>standard</x:v>
      </x:c>
      <x:c r="H1207" s="30" t="str">
        <x:v>year-round</x:v>
      </x:c>
      <x:c r="I12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8">
      <x:c r="A1208" s="36" t="str">
        <x:v>east_africa</x:v>
      </x:c>
      <x:c r="B1208" s="30" t="str">
        <x:v>east-africa-broad-draft-1</x:v>
      </x:c>
      <x:c r="C1208" s="30" t="n">
        <x:v>1573679</x:v>
      </x:c>
      <x:c r="D1208" s="32" t="str">
        <x:v>Red-throated Crag-Martin</x:v>
      </x:c>
      <x:c r="E1208" s="32" t="str">
        <x:v>Ptyonoprogne rufigula</x:v>
      </x:c>
      <x:c r="F1208" s="30" t="str">
        <x:v>common</x:v>
      </x:c>
      <x:c r="G1208" s="30" t="str">
        <x:v>standard</x:v>
      </x:c>
      <x:c r="H1208" s="30" t="str">
        <x:v>year-round</x:v>
      </x:c>
      <x:c r="I12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09">
      <x:c r="A1209" s="36" t="str">
        <x:v>east_africa</x:v>
      </x:c>
      <x:c r="B1209" s="30" t="str">
        <x:v>east-africa-broad-draft-1</x:v>
      </x:c>
      <x:c r="C1209" s="30" t="n">
        <x:v>980208</x:v>
      </x:c>
      <x:c r="D1209" s="32" t="str">
        <x:v>Moorland Chat</x:v>
      </x:c>
      <x:c r="E1209" s="32" t="str">
        <x:v>Pinarochroa sordida</x:v>
      </x:c>
      <x:c r="F1209" s="30" t="str">
        <x:v>common</x:v>
      </x:c>
      <x:c r="G1209" s="30" t="str">
        <x:v>standard</x:v>
      </x:c>
      <x:c r="H1209" s="30" t="str">
        <x:v>year-round</x:v>
      </x:c>
      <x:c r="I12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0">
      <x:c r="A1210" s="36" t="str">
        <x:v>east_africa</x:v>
      </x:c>
      <x:c r="B1210" s="30" t="str">
        <x:v>east-africa-broad-draft-1</x:v>
      </x:c>
      <x:c r="C1210" s="30" t="n">
        <x:v>15052</x:v>
      </x:c>
      <x:c r="D1210" s="32" t="str">
        <x:v>Arrow-marked Babbler</x:v>
      </x:c>
      <x:c r="E1210" s="32" t="str">
        <x:v>Turdoides jardineii</x:v>
      </x:c>
      <x:c r="F1210" s="30" t="str">
        <x:v>common</x:v>
      </x:c>
      <x:c r="G1210" s="30" t="str">
        <x:v>standard</x:v>
      </x:c>
      <x:c r="H1210" s="30" t="str">
        <x:v>year-round</x:v>
      </x:c>
      <x:c r="I12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1">
      <x:c r="A1211" s="36" t="str">
        <x:v>east_africa</x:v>
      </x:c>
      <x:c r="B1211" s="30" t="str">
        <x:v>east-africa-broad-draft-1</x:v>
      </x:c>
      <x:c r="C1211" s="30" t="n">
        <x:v>8399</x:v>
      </x:c>
      <x:c r="D1211" s="32" t="str">
        <x:v>Chinspot Batis</x:v>
      </x:c>
      <x:c r="E1211" s="32" t="str">
        <x:v>Batis molitor</x:v>
      </x:c>
      <x:c r="F1211" s="30" t="str">
        <x:v>common</x:v>
      </x:c>
      <x:c r="G1211" s="30" t="str">
        <x:v>standard</x:v>
      </x:c>
      <x:c r="H1211" s="30" t="str">
        <x:v>year-round</x:v>
      </x:c>
      <x:c r="I12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2">
      <x:c r="A1212" s="36" t="str">
        <x:v>east_africa</x:v>
      </x:c>
      <x:c r="B1212" s="30" t="str">
        <x:v>east-africa-broad-draft-1</x:v>
      </x:c>
      <x:c r="C1212" s="30" t="n">
        <x:v>1289689</x:v>
      </x:c>
      <x:c r="D1212" s="32" t="str">
        <x:v>Coqui Francolin</x:v>
      </x:c>
      <x:c r="E1212" s="32" t="str">
        <x:v>Campocolinus coqui</x:v>
      </x:c>
      <x:c r="F1212" s="30" t="str">
        <x:v>common</x:v>
      </x:c>
      <x:c r="G1212" s="30" t="str">
        <x:v>standard</x:v>
      </x:c>
      <x:c r="H1212" s="30" t="str">
        <x:v>year-round</x:v>
      </x:c>
      <x:c r="I12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3">
      <x:c r="A1213" s="36" t="str">
        <x:v>east_africa</x:v>
      </x:c>
      <x:c r="B1213" s="30" t="str">
        <x:v>east-africa-broad-draft-1</x:v>
      </x:c>
      <x:c r="C1213" s="30" t="n">
        <x:v>12022</x:v>
      </x:c>
      <x:c r="D1213" s="32" t="str">
        <x:v>Taita Fiscal</x:v>
      </x:c>
      <x:c r="E1213" s="32" t="str">
        <x:v>Lanius dorsalis</x:v>
      </x:c>
      <x:c r="F1213" s="30" t="str">
        <x:v>common</x:v>
      </x:c>
      <x:c r="G1213" s="30" t="str">
        <x:v>standard</x:v>
      </x:c>
      <x:c r="H1213" s="30" t="str">
        <x:v>year-round</x:v>
      </x:c>
      <x:c r="I12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4">
      <x:c r="A1214" s="36" t="str">
        <x:v>east_africa</x:v>
      </x:c>
      <x:c r="B1214" s="30" t="str">
        <x:v>east-africa-broad-draft-1</x:v>
      </x:c>
      <x:c r="C1214" s="30" t="n">
        <x:v>1506317</x:v>
      </x:c>
      <x:c r="D1214" s="32" t="str">
        <x:v>Double-toothed Barbet</x:v>
      </x:c>
      <x:c r="E1214" s="32" t="str">
        <x:v>Pogonornis bidentatus</x:v>
      </x:c>
      <x:c r="F1214" s="30" t="str">
        <x:v>uncommon</x:v>
      </x:c>
      <x:c r="G1214" s="30" t="str">
        <x:v>standard</x:v>
      </x:c>
      <x:c r="H1214" s="30" t="str">
        <x:v>year-round</x:v>
      </x:c>
      <x:c r="I12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5">
      <x:c r="A1215" s="36" t="str">
        <x:v>east_africa</x:v>
      </x:c>
      <x:c r="B1215" s="30" t="str">
        <x:v>east-africa-broad-draft-1</x:v>
      </x:c>
      <x:c r="C1215" s="30" t="n">
        <x:v>5083</x:v>
      </x:c>
      <x:c r="D1215" s="32" t="str">
        <x:v>Steppe Eagle</x:v>
      </x:c>
      <x:c r="E1215" s="32" t="str">
        <x:v>Aquila nipalensis</x:v>
      </x:c>
      <x:c r="F1215" s="30" t="str">
        <x:v>uncommon</x:v>
      </x:c>
      <x:c r="G1215" s="30" t="str">
        <x:v>standard</x:v>
      </x:c>
      <x:c r="H1215" s="30" t="str">
        <x:v>year-round</x:v>
      </x:c>
      <x:c r="I12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6">
      <x:c r="A1216" s="36" t="str">
        <x:v>east_africa</x:v>
      </x:c>
      <x:c r="B1216" s="30" t="str">
        <x:v>east-africa-broad-draft-1</x:v>
      </x:c>
      <x:c r="C1216" s="30" t="n">
        <x:v>558610</x:v>
      </x:c>
      <x:c r="D1216" s="32" t="str">
        <x:v>Reichenow's Seedeater</x:v>
      </x:c>
      <x:c r="E1216" s="32" t="str">
        <x:v>Crithagra reichenowi</x:v>
      </x:c>
      <x:c r="F1216" s="30" t="str">
        <x:v>uncommon</x:v>
      </x:c>
      <x:c r="G1216" s="30" t="str">
        <x:v>standard</x:v>
      </x:c>
      <x:c r="H1216" s="30" t="str">
        <x:v>year-round</x:v>
      </x:c>
      <x:c r="I12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7">
      <x:c r="A1217" s="36" t="str">
        <x:v>east_africa</x:v>
      </x:c>
      <x:c r="B1217" s="30" t="str">
        <x:v>east-africa-broad-draft-1</x:v>
      </x:c>
      <x:c r="C1217" s="30" t="n">
        <x:v>7749</x:v>
      </x:c>
      <x:c r="D1217" s="32" t="str">
        <x:v>Yellow-breasted Apalis</x:v>
      </x:c>
      <x:c r="E1217" s="32" t="str">
        <x:v>Apalis flavida</x:v>
      </x:c>
      <x:c r="F1217" s="30" t="str">
        <x:v>uncommon</x:v>
      </x:c>
      <x:c r="G1217" s="30" t="str">
        <x:v>standard</x:v>
      </x:c>
      <x:c r="H1217" s="30" t="str">
        <x:v>year-round</x:v>
      </x:c>
      <x:c r="I12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8">
      <x:c r="A1218" s="36" t="str">
        <x:v>east_africa</x:v>
      </x:c>
      <x:c r="B1218" s="30" t="str">
        <x:v>east-africa-broad-draft-1</x:v>
      </x:c>
      <x:c r="C1218" s="30" t="n">
        <x:v>558618</x:v>
      </x:c>
      <x:c r="D1218" s="32" t="str">
        <x:v>Brimstone Canary</x:v>
      </x:c>
      <x:c r="E1218" s="32" t="str">
        <x:v>Crithagra sulphurata</x:v>
      </x:c>
      <x:c r="F1218" s="30" t="str">
        <x:v>uncommon</x:v>
      </x:c>
      <x:c r="G1218" s="30" t="str">
        <x:v>standard</x:v>
      </x:c>
      <x:c r="H1218" s="30" t="str">
        <x:v>year-round</x:v>
      </x:c>
      <x:c r="I12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19">
      <x:c r="A1219" s="36" t="str">
        <x:v>east_africa</x:v>
      </x:c>
      <x:c r="B1219" s="30" t="str">
        <x:v>east-africa-broad-draft-1</x:v>
      </x:c>
      <x:c r="C1219" s="30" t="n">
        <x:v>5430</x:v>
      </x:c>
      <x:c r="D1219" s="32" t="str">
        <x:v>Lizard Buzzard</x:v>
      </x:c>
      <x:c r="E1219" s="32" t="str">
        <x:v>Kaupifalco monogrammicus</x:v>
      </x:c>
      <x:c r="F1219" s="30" t="str">
        <x:v>uncommon</x:v>
      </x:c>
      <x:c r="G1219" s="30" t="str">
        <x:v>standard</x:v>
      </x:c>
      <x:c r="H1219" s="30" t="str">
        <x:v>year-round</x:v>
      </x:c>
      <x:c r="I12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0">
      <x:c r="A1220" s="36" t="str">
        <x:v>east_africa</x:v>
      </x:c>
      <x:c r="B1220" s="30" t="str">
        <x:v>east-africa-broad-draft-1</x:v>
      </x:c>
      <x:c r="C1220" s="30" t="n">
        <x:v>145142</x:v>
      </x:c>
      <x:c r="D1220" s="32" t="str">
        <x:v>Amethyst Sunbird</x:v>
      </x:c>
      <x:c r="E1220" s="32" t="str">
        <x:v>Chalcomitra amethystina</x:v>
      </x:c>
      <x:c r="F1220" s="30" t="str">
        <x:v>uncommon</x:v>
      </x:c>
      <x:c r="G1220" s="30" t="str">
        <x:v>standard</x:v>
      </x:c>
      <x:c r="H1220" s="30" t="str">
        <x:v>year-round</x:v>
      </x:c>
      <x:c r="I12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1">
      <x:c r="A1221" s="36" t="str">
        <x:v>east_africa</x:v>
      </x:c>
      <x:c r="B1221" s="30" t="str">
        <x:v>east-africa-broad-draft-1</x:v>
      </x:c>
      <x:c r="C1221" s="30" t="n">
        <x:v>1738</x:v>
      </x:c>
      <x:c r="D1221" s="32" t="str">
        <x:v>Diederik Cuckoo</x:v>
      </x:c>
      <x:c r="E1221" s="32" t="str">
        <x:v>Chrysococcyx caprius</x:v>
      </x:c>
      <x:c r="F1221" s="30" t="str">
        <x:v>uncommon</x:v>
      </x:c>
      <x:c r="G1221" s="30" t="str">
        <x:v>standard</x:v>
      </x:c>
      <x:c r="H1221" s="30" t="str">
        <x:v>year-round</x:v>
      </x:c>
      <x:c r="I12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2">
      <x:c r="A1222" s="36" t="str">
        <x:v>east_africa</x:v>
      </x:c>
      <x:c r="B1222" s="30" t="str">
        <x:v>east-africa-broad-draft-1</x:v>
      </x:c>
      <x:c r="C1222" s="30" t="n">
        <x:v>8296</x:v>
      </x:c>
      <x:c r="D1222" s="32" t="str">
        <x:v>Black-backed Puffback</x:v>
      </x:c>
      <x:c r="E1222" s="32" t="str">
        <x:v>Dryoscopus cubla</x:v>
      </x:c>
      <x:c r="F1222" s="30" t="str">
        <x:v>uncommon</x:v>
      </x:c>
      <x:c r="G1222" s="30" t="str">
        <x:v>standard</x:v>
      </x:c>
      <x:c r="H1222" s="30" t="str">
        <x:v>year-round</x:v>
      </x:c>
      <x:c r="I12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3">
      <x:c r="A1223" s="36" t="str">
        <x:v>east_africa</x:v>
      </x:c>
      <x:c r="B1223" s="30" t="str">
        <x:v>east-africa-broad-draft-1</x:v>
      </x:c>
      <x:c r="C1223" s="30" t="n">
        <x:v>201282</x:v>
      </x:c>
      <x:c r="D1223" s="32" t="str">
        <x:v>Common Moorhen</x:v>
      </x:c>
      <x:c r="E1223" s="32" t="str">
        <x:v>Gallinula chloropus</x:v>
      </x:c>
      <x:c r="F1223" s="30" t="str">
        <x:v>uncommon</x:v>
      </x:c>
      <x:c r="G1223" s="30" t="str">
        <x:v>standard</x:v>
      </x:c>
      <x:c r="H1223" s="30" t="str">
        <x:v>year-round</x:v>
      </x:c>
      <x:c r="I12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4">
      <x:c r="A1224" s="36" t="str">
        <x:v>east_africa</x:v>
      </x:c>
      <x:c r="B1224" s="30" t="str">
        <x:v>east-africa-broad-draft-1</x:v>
      </x:c>
      <x:c r="C1224" s="30" t="n">
        <x:v>4514</x:v>
      </x:c>
      <x:c r="D1224" s="32" t="str">
        <x:v>White-winged Tern</x:v>
      </x:c>
      <x:c r="E1224" s="32" t="str">
        <x:v>Chlidonias leucopterus</x:v>
      </x:c>
      <x:c r="F1224" s="30" t="str">
        <x:v>uncommon</x:v>
      </x:c>
      <x:c r="G1224" s="30" t="str">
        <x:v>standard</x:v>
      </x:c>
      <x:c r="H1224" s="30" t="str">
        <x:v>year-round</x:v>
      </x:c>
      <x:c r="I12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5">
      <x:c r="A1225" s="36" t="str">
        <x:v>east_africa</x:v>
      </x:c>
      <x:c r="B1225" s="30" t="str">
        <x:v>east-africa-broad-draft-1</x:v>
      </x:c>
      <x:c r="C1225" s="30" t="n">
        <x:v>3405</x:v>
      </x:c>
      <x:c r="D1225" s="32" t="str">
        <x:v>African Green-Pigeon</x:v>
      </x:c>
      <x:c r="E1225" s="32" t="str">
        <x:v>Treron calvus</x:v>
      </x:c>
      <x:c r="F1225" s="30" t="str">
        <x:v>uncommon</x:v>
      </x:c>
      <x:c r="G1225" s="30" t="str">
        <x:v>standard</x:v>
      </x:c>
      <x:c r="H1225" s="30" t="str">
        <x:v>year-round</x:v>
      </x:c>
      <x:c r="I12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6">
      <x:c r="A1226" s="36" t="str">
        <x:v>east_africa</x:v>
      </x:c>
      <x:c r="B1226" s="30" t="str">
        <x:v>east-africa-broad-draft-1</x:v>
      </x:c>
      <x:c r="C1226" s="30" t="n">
        <x:v>8593</x:v>
      </x:c>
      <x:c r="D1226" s="32" t="str">
        <x:v>Rosy-patched Bushshrike</x:v>
      </x:c>
      <x:c r="E1226" s="32" t="str">
        <x:v>Rhodophoneus cruentus</x:v>
      </x:c>
      <x:c r="F1226" s="30" t="str">
        <x:v>uncommon</x:v>
      </x:c>
      <x:c r="G1226" s="30" t="str">
        <x:v>standard</x:v>
      </x:c>
      <x:c r="H1226" s="30" t="str">
        <x:v>year-round</x:v>
      </x:c>
      <x:c r="I12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7">
      <x:c r="A1227" s="36" t="str">
        <x:v>east_africa</x:v>
      </x:c>
      <x:c r="B1227" s="30" t="str">
        <x:v>east-africa-broad-draft-1</x:v>
      </x:c>
      <x:c r="C1227" s="30" t="n">
        <x:v>979726</x:v>
      </x:c>
      <x:c r="D1227" s="32" t="str">
        <x:v>Yellow-spotted Bush Sparrow</x:v>
      </x:c>
      <x:c r="E1227" s="32" t="str">
        <x:v>Gymnoris pyrgita</x:v>
      </x:c>
      <x:c r="F1227" s="30" t="str">
        <x:v>uncommon</x:v>
      </x:c>
      <x:c r="G1227" s="30" t="str">
        <x:v>standard</x:v>
      </x:c>
      <x:c r="H1227" s="30" t="str">
        <x:v>year-round</x:v>
      </x:c>
      <x:c r="I12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8">
      <x:c r="A1228" s="36" t="str">
        <x:v>east_africa</x:v>
      </x:c>
      <x:c r="B1228" s="30" t="str">
        <x:v>east-africa-broad-draft-1</x:v>
      </x:c>
      <x:c r="C1228" s="30" t="n">
        <x:v>144460</x:v>
      </x:c>
      <x:c r="D1228" s="32" t="str">
        <x:v>Gabar Goshawk</x:v>
      </x:c>
      <x:c r="E1228" s="32" t="str">
        <x:v>Micronisus gabar</x:v>
      </x:c>
      <x:c r="F1228" s="30" t="str">
        <x:v>uncommon</x:v>
      </x:c>
      <x:c r="G1228" s="30" t="str">
        <x:v>standard</x:v>
      </x:c>
      <x:c r="H1228" s="30" t="str">
        <x:v>year-round</x:v>
      </x:c>
      <x:c r="I12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29">
      <x:c r="A1229" s="36" t="str">
        <x:v>east_africa</x:v>
      </x:c>
      <x:c r="B1229" s="30" t="str">
        <x:v>east-africa-broad-draft-1</x:v>
      </x:c>
      <x:c r="C1229" s="30" t="n">
        <x:v>2346</x:v>
      </x:c>
      <x:c r="D1229" s="32" t="str">
        <x:v>Brown-hooded Kingfisher</x:v>
      </x:c>
      <x:c r="E1229" s="32" t="str">
        <x:v>Halcyon albiventris</x:v>
      </x:c>
      <x:c r="F1229" s="30" t="str">
        <x:v>uncommon</x:v>
      </x:c>
      <x:c r="G1229" s="30" t="str">
        <x:v>standard</x:v>
      </x:c>
      <x:c r="H1229" s="30" t="str">
        <x:v>year-round</x:v>
      </x:c>
      <x:c r="I12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0">
      <x:c r="A1230" s="36" t="str">
        <x:v>east_africa</x:v>
      </x:c>
      <x:c r="B1230" s="30" t="str">
        <x:v>east-africa-broad-draft-1</x:v>
      </x:c>
      <x:c r="C1230" s="30" t="n">
        <x:v>1585429</x:v>
      </x:c>
      <x:c r="D1230" s="32" t="str">
        <x:v>Ross's Turaco</x:v>
      </x:c>
      <x:c r="E1230" s="32" t="str">
        <x:v>Tauraco rossae</x:v>
      </x:c>
      <x:c r="F1230" s="30" t="str">
        <x:v>uncommon</x:v>
      </x:c>
      <x:c r="G1230" s="30" t="str">
        <x:v>standard</x:v>
      </x:c>
      <x:c r="H1230" s="30" t="str">
        <x:v>year-round</x:v>
      </x:c>
      <x:c r="I12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1">
      <x:c r="A1231" s="36" t="str">
        <x:v>east_africa</x:v>
      </x:c>
      <x:c r="B1231" s="30" t="str">
        <x:v>east-africa-broad-draft-1</x:v>
      </x:c>
      <x:c r="C1231" s="30" t="n">
        <x:v>13834</x:v>
      </x:c>
      <x:c r="D1231" s="32" t="str">
        <x:v>Northern Brown-throated Weaver</x:v>
      </x:c>
      <x:c r="E1231" s="32" t="str">
        <x:v>Ploceus castanops</x:v>
      </x:c>
      <x:c r="F1231" s="30" t="str">
        <x:v>uncommon</x:v>
      </x:c>
      <x:c r="G1231" s="30" t="str">
        <x:v>standard</x:v>
      </x:c>
      <x:c r="H1231" s="30" t="str">
        <x:v>year-round</x:v>
      </x:c>
      <x:c r="I12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2">
      <x:c r="A1232" s="36" t="str">
        <x:v>east_africa</x:v>
      </x:c>
      <x:c r="B1232" s="30" t="str">
        <x:v>east-africa-broad-draft-1</x:v>
      </x:c>
      <x:c r="C1232" s="30" t="n">
        <x:v>13825</x:v>
      </x:c>
      <x:c r="D1232" s="32" t="str">
        <x:v>Black-necked Weaver</x:v>
      </x:c>
      <x:c r="E1232" s="32" t="str">
        <x:v>Ploceus nigricollis</x:v>
      </x:c>
      <x:c r="F1232" s="30" t="str">
        <x:v>uncommon</x:v>
      </x:c>
      <x:c r="G1232" s="30" t="str">
        <x:v>standard</x:v>
      </x:c>
      <x:c r="H1232" s="30" t="str">
        <x:v>year-round</x:v>
      </x:c>
      <x:c r="I12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3">
      <x:c r="A1233" s="36" t="str">
        <x:v>east_africa</x:v>
      </x:c>
      <x:c r="B1233" s="30" t="str">
        <x:v>east-africa-broad-draft-1</x:v>
      </x:c>
      <x:c r="C1233" s="30" t="n">
        <x:v>13999</x:v>
      </x:c>
      <x:c r="D1233" s="32" t="str">
        <x:v>Green-winged Pytilia</x:v>
      </x:c>
      <x:c r="E1233" s="32" t="str">
        <x:v>Pytilia melba</x:v>
      </x:c>
      <x:c r="F1233" s="30" t="str">
        <x:v>uncommon</x:v>
      </x:c>
      <x:c r="G1233" s="30" t="str">
        <x:v>standard</x:v>
      </x:c>
      <x:c r="H1233" s="30" t="str">
        <x:v>year-round</x:v>
      </x:c>
      <x:c r="I12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4">
      <x:c r="A1234" s="36" t="str">
        <x:v>east_africa</x:v>
      </x:c>
      <x:c r="B1234" s="30" t="str">
        <x:v>east-africa-broad-draft-1</x:v>
      </x:c>
      <x:c r="C1234" s="30" t="n">
        <x:v>13821</x:v>
      </x:c>
      <x:c r="D1234" s="32" t="str">
        <x:v>Slender-billed Weaver</x:v>
      </x:c>
      <x:c r="E1234" s="32" t="str">
        <x:v>Ploceus pelzelni</x:v>
      </x:c>
      <x:c r="F1234" s="30" t="str">
        <x:v>uncommon</x:v>
      </x:c>
      <x:c r="G1234" s="30" t="str">
        <x:v>standard</x:v>
      </x:c>
      <x:c r="H1234" s="30" t="str">
        <x:v>year-round</x:v>
      </x:c>
      <x:c r="I12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5">
      <x:c r="A1235" s="36" t="str">
        <x:v>east_africa</x:v>
      </x:c>
      <x:c r="B1235" s="30" t="str">
        <x:v>east-africa-broad-draft-1</x:v>
      </x:c>
      <x:c r="C1235" s="30" t="n">
        <x:v>558430</x:v>
      </x:c>
      <x:c r="D1235" s="32" t="str">
        <x:v>Blue-billed Teal</x:v>
      </x:c>
      <x:c r="E1235" s="32" t="str">
        <x:v>Spatula hottentota</x:v>
      </x:c>
      <x:c r="F1235" s="30" t="str">
        <x:v>uncommon</x:v>
      </x:c>
      <x:c r="G1235" s="30" t="str">
        <x:v>standard</x:v>
      </x:c>
      <x:c r="H1235" s="30" t="str">
        <x:v>year-round</x:v>
      </x:c>
      <x:c r="I12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6">
      <x:c r="A1236" s="36" t="str">
        <x:v>east_africa</x:v>
      </x:c>
      <x:c r="B1236" s="30" t="str">
        <x:v>east-africa-broad-draft-1</x:v>
      </x:c>
      <x:c r="C1236" s="30" t="n">
        <x:v>13770</x:v>
      </x:c>
      <x:c r="D1236" s="32" t="str">
        <x:v>Common Waxbill</x:v>
      </x:c>
      <x:c r="E1236" s="32" t="str">
        <x:v>Estrilda astrild</x:v>
      </x:c>
      <x:c r="F1236" s="30" t="str">
        <x:v>uncommon</x:v>
      </x:c>
      <x:c r="G1236" s="30" t="str">
        <x:v>standard</x:v>
      </x:c>
      <x:c r="H1236" s="30" t="str">
        <x:v>year-round</x:v>
      </x:c>
      <x:c r="I12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7">
      <x:c r="A1237" s="36" t="str">
        <x:v>east_africa</x:v>
      </x:c>
      <x:c r="B1237" s="30" t="str">
        <x:v>east-africa-broad-draft-1</x:v>
      </x:c>
      <x:c r="C1237" s="30" t="n">
        <x:v>8046</x:v>
      </x:c>
      <x:c r="D1237" s="32" t="str">
        <x:v>Fan-tailed Raven</x:v>
      </x:c>
      <x:c r="E1237" s="32" t="str">
        <x:v>Corvus rhipidurus</x:v>
      </x:c>
      <x:c r="F1237" s="30" t="str">
        <x:v>uncommon</x:v>
      </x:c>
      <x:c r="G1237" s="30" t="str">
        <x:v>standard</x:v>
      </x:c>
      <x:c r="H1237" s="30" t="str">
        <x:v>year-round</x:v>
      </x:c>
      <x:c r="I12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8">
      <x:c r="A1238" s="36" t="str">
        <x:v>east_africa</x:v>
      </x:c>
      <x:c r="B1238" s="30" t="str">
        <x:v>east-africa-broad-draft-1</x:v>
      </x:c>
      <x:c r="C1238" s="30" t="n">
        <x:v>13962</x:v>
      </x:c>
      <x:c r="D1238" s="32" t="str">
        <x:v>Southern Red Bishop</x:v>
      </x:c>
      <x:c r="E1238" s="32" t="str">
        <x:v>Euplectes orix</x:v>
      </x:c>
      <x:c r="F1238" s="30" t="str">
        <x:v>uncommon</x:v>
      </x:c>
      <x:c r="G1238" s="30" t="str">
        <x:v>standard</x:v>
      </x:c>
      <x:c r="H1238" s="30" t="str">
        <x:v>year-round</x:v>
      </x:c>
      <x:c r="I12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39">
      <x:c r="A1239" s="36" t="str">
        <x:v>east_africa</x:v>
      </x:c>
      <x:c r="B1239" s="30" t="str">
        <x:v>east-africa-broad-draft-1</x:v>
      </x:c>
      <x:c r="C1239" s="30" t="n">
        <x:v>13836</x:v>
      </x:c>
      <x:c r="D1239" s="32" t="str">
        <x:v>African Golden-Weaver</x:v>
      </x:c>
      <x:c r="E1239" s="32" t="str">
        <x:v>Ploceus subaureus</x:v>
      </x:c>
      <x:c r="F1239" s="30" t="str">
        <x:v>uncommon</x:v>
      </x:c>
      <x:c r="G1239" s="30" t="str">
        <x:v>standard</x:v>
      </x:c>
      <x:c r="H1239" s="30" t="str">
        <x:v>year-round</x:v>
      </x:c>
      <x:c r="I12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0">
      <x:c r="A1240" s="36" t="str">
        <x:v>east_africa</x:v>
      </x:c>
      <x:c r="B1240" s="30" t="str">
        <x:v>east-africa-broad-draft-1</x:v>
      </x:c>
      <x:c r="C1240" s="30" t="n">
        <x:v>1572871</x:v>
      </x:c>
      <x:c r="D1240" s="32" t="str">
        <x:v>Sentinel Lark</x:v>
      </x:c>
      <x:c r="E1240" s="32" t="str">
        <x:v>Corypha athi</x:v>
      </x:c>
      <x:c r="F1240" s="30" t="str">
        <x:v>uncommon</x:v>
      </x:c>
      <x:c r="G1240" s="30" t="str">
        <x:v>standard</x:v>
      </x:c>
      <x:c r="H1240" s="30" t="str">
        <x:v>year-round</x:v>
      </x:c>
      <x:c r="I12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1">
      <x:c r="A1241" s="36" t="str">
        <x:v>east_africa</x:v>
      </x:c>
      <x:c r="B1241" s="30" t="str">
        <x:v>east-africa-broad-draft-1</x:v>
      </x:c>
      <x:c r="C1241" s="30" t="n">
        <x:v>145162</x:v>
      </x:c>
      <x:c r="D1241" s="32" t="str">
        <x:v>Northern Double-collared Sunbird</x:v>
      </x:c>
      <x:c r="E1241" s="32" t="str">
        <x:v>Cinnyris reichenowi</x:v>
      </x:c>
      <x:c r="F1241" s="30" t="str">
        <x:v>uncommon</x:v>
      </x:c>
      <x:c r="G1241" s="30" t="str">
        <x:v>standard</x:v>
      </x:c>
      <x:c r="H1241" s="30" t="str">
        <x:v>year-round</x:v>
      </x:c>
      <x:c r="I12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2">
      <x:c r="A1242" s="36" t="str">
        <x:v>east_africa</x:v>
      </x:c>
      <x:c r="B1242" s="30" t="str">
        <x:v>east-africa-broad-draft-1</x:v>
      </x:c>
      <x:c r="C1242" s="30" t="n">
        <x:v>13787</x:v>
      </x:c>
      <x:c r="D1242" s="32" t="str">
        <x:v>Vieillot's Black Weaver</x:v>
      </x:c>
      <x:c r="E1242" s="32" t="str">
        <x:v>Ploceus nigerrimus</x:v>
      </x:c>
      <x:c r="F1242" s="30" t="str">
        <x:v>uncommon</x:v>
      </x:c>
      <x:c r="G1242" s="30" t="str">
        <x:v>standard</x:v>
      </x:c>
      <x:c r="H1242" s="30" t="str">
        <x:v>year-round</x:v>
      </x:c>
      <x:c r="I12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3">
      <x:c r="A1243" s="36" t="str">
        <x:v>east_africa</x:v>
      </x:c>
      <x:c r="B1243" s="30" t="str">
        <x:v>east-africa-broad-draft-1</x:v>
      </x:c>
      <x:c r="C1243" s="30" t="n">
        <x:v>7204</x:v>
      </x:c>
      <x:c r="D1243" s="32" t="str">
        <x:v>Hartlaub's Turaco</x:v>
      </x:c>
      <x:c r="E1243" s="32" t="str">
        <x:v>Tauraco hartlaubi</x:v>
      </x:c>
      <x:c r="F1243" s="30" t="str">
        <x:v>uncommon</x:v>
      </x:c>
      <x:c r="G1243" s="30" t="str">
        <x:v>standard</x:v>
      </x:c>
      <x:c r="H1243" s="30" t="str">
        <x:v>year-round</x:v>
      </x:c>
      <x:c r="I12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4">
      <x:c r="A1244" s="36" t="str">
        <x:v>east_africa</x:v>
      </x:c>
      <x:c r="B1244" s="30" t="str">
        <x:v>east-africa-broad-draft-1</x:v>
      </x:c>
      <x:c r="C1244" s="30" t="n">
        <x:v>13862</x:v>
      </x:c>
      <x:c r="D1244" s="32" t="str">
        <x:v>Parrot-billed Sparrow</x:v>
      </x:c>
      <x:c r="E1244" s="32" t="str">
        <x:v>Passer gongonensis</x:v>
      </x:c>
      <x:c r="F1244" s="30" t="str">
        <x:v>uncommon</x:v>
      </x:c>
      <x:c r="G1244" s="30" t="str">
        <x:v>standard</x:v>
      </x:c>
      <x:c r="H1244" s="30" t="str">
        <x:v>year-round</x:v>
      </x:c>
      <x:c r="I12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5">
      <x:c r="A1245" s="36" t="str">
        <x:v>east_africa</x:v>
      </x:c>
      <x:c r="B1245" s="30" t="str">
        <x:v>east-africa-broad-draft-1</x:v>
      </x:c>
      <x:c r="C1245" s="30" t="n">
        <x:v>1578607</x:v>
      </x:c>
      <x:c r="D1245" s="32" t="str">
        <x:v>Gorgeous Sunbird</x:v>
      </x:c>
      <x:c r="E1245" s="32" t="str">
        <x:v>Cinnyris melanogastrus</x:v>
      </x:c>
      <x:c r="F1245" s="30" t="str">
        <x:v>uncommon</x:v>
      </x:c>
      <x:c r="G1245" s="30" t="str">
        <x:v>standard</x:v>
      </x:c>
      <x:c r="H1245" s="30" t="str">
        <x:v>year-round</x:v>
      </x:c>
      <x:c r="I12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6">
      <x:c r="A1246" s="36" t="str">
        <x:v>east_africa</x:v>
      </x:c>
      <x:c r="B1246" s="30" t="str">
        <x:v>east-africa-broad-draft-1</x:v>
      </x:c>
      <x:c r="C1246" s="30" t="n">
        <x:v>12822</x:v>
      </x:c>
      <x:c r="D1246" s="32" t="str">
        <x:v>Northern Wheatear</x:v>
      </x:c>
      <x:c r="E1246" s="32" t="str">
        <x:v>Oenanthe oenanthe</x:v>
      </x:c>
      <x:c r="F1246" s="30" t="str">
        <x:v>uncommon</x:v>
      </x:c>
      <x:c r="G1246" s="30" t="str">
        <x:v>standard</x:v>
      </x:c>
      <x:c r="H1246" s="30" t="str">
        <x:v>year-round</x:v>
      </x:c>
      <x:c r="I12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7">
      <x:c r="A1247" s="36" t="str">
        <x:v>east_africa</x:v>
      </x:c>
      <x:c r="B1247" s="30" t="str">
        <x:v>east-africa-broad-draft-1</x:v>
      </x:c>
      <x:c r="C1247" s="30" t="n">
        <x:v>4604</x:v>
      </x:c>
      <x:c r="D1247" s="32" t="str">
        <x:v>Collared Pratincole</x:v>
      </x:c>
      <x:c r="E1247" s="32" t="str">
        <x:v>Glareola pratincola</x:v>
      </x:c>
      <x:c r="F1247" s="30" t="str">
        <x:v>uncommon</x:v>
      </x:c>
      <x:c r="G1247" s="30" t="str">
        <x:v>standard</x:v>
      </x:c>
      <x:c r="H1247" s="30" t="str">
        <x:v>year-round</x:v>
      </x:c>
      <x:c r="I12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8">
      <x:c r="A1248" s="36" t="str">
        <x:v>east_africa</x:v>
      </x:c>
      <x:c r="B1248" s="30" t="str">
        <x:v>east-africa-broad-draft-1</x:v>
      </x:c>
      <x:c r="C1248" s="30" t="n">
        <x:v>19051</x:v>
      </x:c>
      <x:c r="D1248" s="32" t="str">
        <x:v>Red-bellied Parrot</x:v>
      </x:c>
      <x:c r="E1248" s="32" t="str">
        <x:v>Poicephalus rufiventris</x:v>
      </x:c>
      <x:c r="F1248" s="30" t="str">
        <x:v>uncommon</x:v>
      </x:c>
      <x:c r="G1248" s="30" t="str">
        <x:v>standard</x:v>
      </x:c>
      <x:c r="H1248" s="30" t="str">
        <x:v>year-round</x:v>
      </x:c>
      <x:c r="I12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49">
      <x:c r="A1249" s="36" t="str">
        <x:v>east_africa</x:v>
      </x:c>
      <x:c r="B1249" s="30" t="str">
        <x:v>east-africa-broad-draft-1</x:v>
      </x:c>
      <x:c r="C1249" s="30" t="n">
        <x:v>8454</x:v>
      </x:c>
      <x:c r="D1249" s="32" t="str">
        <x:v>Brown-throated Wattle-eye</x:v>
      </x:c>
      <x:c r="E1249" s="32" t="str">
        <x:v>Platysteira cyanea</x:v>
      </x:c>
      <x:c r="F1249" s="30" t="str">
        <x:v>uncommon</x:v>
      </x:c>
      <x:c r="G1249" s="30" t="str">
        <x:v>standard</x:v>
      </x:c>
      <x:c r="H1249" s="30" t="str">
        <x:v>year-round</x:v>
      </x:c>
      <x:c r="I12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0">
      <x:c r="A1250" s="36" t="str">
        <x:v>east_africa</x:v>
      </x:c>
      <x:c r="B1250" s="30" t="str">
        <x:v>east-africa-broad-draft-1</x:v>
      </x:c>
      <x:c r="C1250" s="30" t="n">
        <x:v>4733</x:v>
      </x:c>
      <x:c r="D1250" s="32" t="str">
        <x:v>White Stork</x:v>
      </x:c>
      <x:c r="E1250" s="32" t="str">
        <x:v>Ciconia ciconia</x:v>
      </x:c>
      <x:c r="F1250" s="30" t="str">
        <x:v>uncommon</x:v>
      </x:c>
      <x:c r="G1250" s="30" t="str">
        <x:v>standard</x:v>
      </x:c>
      <x:c r="H1250" s="30" t="str">
        <x:v>year-round</x:v>
      </x:c>
      <x:c r="I12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1">
      <x:c r="A1251" s="36" t="str">
        <x:v>east_africa</x:v>
      </x:c>
      <x:c r="B1251" s="30" t="str">
        <x:v>east-africa-broad-draft-1</x:v>
      </x:c>
      <x:c r="C1251" s="30" t="n">
        <x:v>13869</x:v>
      </x:c>
      <x:c r="D1251" s="32" t="str">
        <x:v>Swainson's Sparrow</x:v>
      </x:c>
      <x:c r="E1251" s="32" t="str">
        <x:v>Passer swainsonii</x:v>
      </x:c>
      <x:c r="F1251" s="30" t="str">
        <x:v>uncommon</x:v>
      </x:c>
      <x:c r="G1251" s="30" t="str">
        <x:v>standard</x:v>
      </x:c>
      <x:c r="H1251" s="30" t="str">
        <x:v>year-round</x:v>
      </x:c>
      <x:c r="I12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2">
      <x:c r="A1252" s="36" t="str">
        <x:v>east_africa</x:v>
      </x:c>
      <x:c r="B1252" s="30" t="str">
        <x:v>east-africa-broad-draft-1</x:v>
      </x:c>
      <x:c r="C1252" s="30" t="n">
        <x:v>8446</x:v>
      </x:c>
      <x:c r="D1252" s="32" t="str">
        <x:v>Brown-crowned Tchagra</x:v>
      </x:c>
      <x:c r="E1252" s="32" t="str">
        <x:v>Tchagra australis</x:v>
      </x:c>
      <x:c r="F1252" s="30" t="str">
        <x:v>uncommon</x:v>
      </x:c>
      <x:c r="G1252" s="30" t="str">
        <x:v>standard</x:v>
      </x:c>
      <x:c r="H1252" s="30" t="str">
        <x:v>year-round</x:v>
      </x:c>
      <x:c r="I12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3">
      <x:c r="A1253" s="36" t="str">
        <x:v>east_africa</x:v>
      </x:c>
      <x:c r="B1253" s="30" t="str">
        <x:v>east-africa-broad-draft-1</x:v>
      </x:c>
      <x:c r="C1253" s="30" t="n">
        <x:v>7160</x:v>
      </x:c>
      <x:c r="D1253" s="32" t="str">
        <x:v>Knob-billed Duck</x:v>
      </x:c>
      <x:c r="E1253" s="32" t="str">
        <x:v>Sarkidiornis melanotos</x:v>
      </x:c>
      <x:c r="F1253" s="30" t="str">
        <x:v>uncommon</x:v>
      </x:c>
      <x:c r="G1253" s="30" t="str">
        <x:v>standard</x:v>
      </x:c>
      <x:c r="H1253" s="30" t="str">
        <x:v>year-round</x:v>
      </x:c>
      <x:c r="I12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4">
      <x:c r="A1254" s="36" t="str">
        <x:v>east_africa</x:v>
      </x:c>
      <x:c r="B1254" s="30" t="str">
        <x:v>east-africa-broad-draft-1</x:v>
      </x:c>
      <x:c r="C1254" s="30" t="n">
        <x:v>144498</x:v>
      </x:c>
      <x:c r="D1254" s="32" t="str">
        <x:v>Double-banded Courser</x:v>
      </x:c>
      <x:c r="E1254" s="32" t="str">
        <x:v>Smutsornis africanus</x:v>
      </x:c>
      <x:c r="F1254" s="30" t="str">
        <x:v>uncommon</x:v>
      </x:c>
      <x:c r="G1254" s="30" t="str">
        <x:v>standard</x:v>
      </x:c>
      <x:c r="H1254" s="30" t="str">
        <x:v>year-round</x:v>
      </x:c>
      <x:c r="I12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5">
      <x:c r="A1255" s="36" t="str">
        <x:v>east_africa</x:v>
      </x:c>
      <x:c r="B1255" s="30" t="str">
        <x:v>east-africa-broad-draft-1</x:v>
      </x:c>
      <x:c r="C1255" s="30" t="n">
        <x:v>1903</x:v>
      </x:c>
      <x:c r="D1255" s="32" t="str">
        <x:v>Red-chested Cuckoo</x:v>
      </x:c>
      <x:c r="E1255" s="32" t="str">
        <x:v>Cuculus solitarius</x:v>
      </x:c>
      <x:c r="F1255" s="30" t="str">
        <x:v>uncommon</x:v>
      </x:c>
      <x:c r="G1255" s="30" t="str">
        <x:v>standard</x:v>
      </x:c>
      <x:c r="H1255" s="30" t="str">
        <x:v>year-round</x:v>
      </x:c>
      <x:c r="I12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6">
      <x:c r="A1256" s="36" t="str">
        <x:v>east_africa</x:v>
      </x:c>
      <x:c r="B1256" s="30" t="str">
        <x:v>east-africa-broad-draft-1</x:v>
      </x:c>
      <x:c r="C1256" s="30" t="n">
        <x:v>1730</x:v>
      </x:c>
      <x:c r="D1256" s="32" t="str">
        <x:v>Klaas's Cuckoo</x:v>
      </x:c>
      <x:c r="E1256" s="32" t="str">
        <x:v>Chrysococcyx klaas</x:v>
      </x:c>
      <x:c r="F1256" s="30" t="str">
        <x:v>uncommon</x:v>
      </x:c>
      <x:c r="G1256" s="30" t="str">
        <x:v>standard</x:v>
      </x:c>
      <x:c r="H1256" s="30" t="str">
        <x:v>year-round</x:v>
      </x:c>
      <x:c r="I12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7">
      <x:c r="A1257" s="36" t="str">
        <x:v>east_africa</x:v>
      </x:c>
      <x:c r="B1257" s="30" t="str">
        <x:v>east-africa-broad-draft-1</x:v>
      </x:c>
      <x:c r="C1257" s="30" t="n">
        <x:v>13861</x:v>
      </x:c>
      <x:c r="D1257" s="32" t="str">
        <x:v>Chestnut Sparrow</x:v>
      </x:c>
      <x:c r="E1257" s="32" t="str">
        <x:v>Passer eminibey</x:v>
      </x:c>
      <x:c r="F1257" s="30" t="str">
        <x:v>uncommon</x:v>
      </x:c>
      <x:c r="G1257" s="30" t="str">
        <x:v>standard</x:v>
      </x:c>
      <x:c r="H1257" s="30" t="str">
        <x:v>year-round</x:v>
      </x:c>
      <x:c r="I12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8">
      <x:c r="A1258" s="36" t="str">
        <x:v>east_africa</x:v>
      </x:c>
      <x:c r="B1258" s="30" t="str">
        <x:v>east-africa-broad-draft-1</x:v>
      </x:c>
      <x:c r="C1258" s="30" t="n">
        <x:v>5392</x:v>
      </x:c>
      <x:c r="D1258" s="32" t="str">
        <x:v>White-headed Vulture</x:v>
      </x:c>
      <x:c r="E1258" s="32" t="str">
        <x:v>Trigonoceps occipitalis</x:v>
      </x:c>
      <x:c r="F1258" s="30" t="str">
        <x:v>uncommon</x:v>
      </x:c>
      <x:c r="G1258" s="30" t="str">
        <x:v>standard</x:v>
      </x:c>
      <x:c r="H1258" s="30" t="str">
        <x:v>year-round</x:v>
      </x:c>
      <x:c r="I12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59">
      <x:c r="A1259" s="36" t="str">
        <x:v>east_africa</x:v>
      </x:c>
      <x:c r="B1259" s="30" t="str">
        <x:v>east-africa-broad-draft-1</x:v>
      </x:c>
      <x:c r="C1259" s="30" t="n">
        <x:v>558602</x:v>
      </x:c>
      <x:c r="D1259" s="32" t="str">
        <x:v>African Citril</x:v>
      </x:c>
      <x:c r="E1259" s="32" t="str">
        <x:v>Crithagra citrinelloides</x:v>
      </x:c>
      <x:c r="F1259" s="30" t="str">
        <x:v>uncommon</x:v>
      </x:c>
      <x:c r="G1259" s="30" t="str">
        <x:v>standard</x:v>
      </x:c>
      <x:c r="H1259" s="30" t="str">
        <x:v>year-round</x:v>
      </x:c>
      <x:c r="I12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0">
      <x:c r="A1260" s="36" t="str">
        <x:v>east_africa</x:v>
      </x:c>
      <x:c r="B1260" s="30" t="str">
        <x:v>east-africa-broad-draft-1</x:v>
      </x:c>
      <x:c r="C1260" s="30" t="n">
        <x:v>6681</x:v>
      </x:c>
      <x:c r="D1260" s="32" t="str">
        <x:v>African Palm Swift</x:v>
      </x:c>
      <x:c r="E1260" s="32" t="str">
        <x:v>Cypsiurus parvus</x:v>
      </x:c>
      <x:c r="F1260" s="30" t="str">
        <x:v>uncommon</x:v>
      </x:c>
      <x:c r="G1260" s="30" t="str">
        <x:v>standard</x:v>
      </x:c>
      <x:c r="H1260" s="30" t="str">
        <x:v>year-round</x:v>
      </x:c>
      <x:c r="I12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1">
      <x:c r="A1261" s="36" t="str">
        <x:v>east_africa</x:v>
      </x:c>
      <x:c r="B1261" s="30" t="str">
        <x:v>east-africa-broad-draft-1</x:v>
      </x:c>
      <x:c r="C1261" s="30" t="n">
        <x:v>19882</x:v>
      </x:c>
      <x:c r="D1261" s="32" t="str">
        <x:v>Pearl-spotted Owlet</x:v>
      </x:c>
      <x:c r="E1261" s="32" t="str">
        <x:v>Glaucidium perlatum</x:v>
      </x:c>
      <x:c r="F1261" s="30" t="str">
        <x:v>uncommon</x:v>
      </x:c>
      <x:c r="G1261" s="30" t="str">
        <x:v>standard</x:v>
      </x:c>
      <x:c r="H1261" s="30" t="str">
        <x:v>year-round</x:v>
      </x:c>
      <x:c r="I12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2">
      <x:c r="A1262" s="36" t="str">
        <x:v>east_africa</x:v>
      </x:c>
      <x:c r="B1262" s="30" t="str">
        <x:v>east-africa-broad-draft-1</x:v>
      </x:c>
      <x:c r="C1262" s="30" t="n">
        <x:v>4981</x:v>
      </x:c>
      <x:c r="D1262" s="32" t="str">
        <x:v>Black-crowned Night Heron</x:v>
      </x:c>
      <x:c r="E1262" s="32" t="str">
        <x:v>Nycticorax nycticorax</x:v>
      </x:c>
      <x:c r="F1262" s="30" t="str">
        <x:v>uncommon</x:v>
      </x:c>
      <x:c r="G1262" s="30" t="str">
        <x:v>standard</x:v>
      </x:c>
      <x:c r="H1262" s="30" t="str">
        <x:v>year-round</x:v>
      </x:c>
      <x:c r="I12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3">
      <x:c r="A1263" s="36" t="str">
        <x:v>east_africa</x:v>
      </x:c>
      <x:c r="B1263" s="30" t="str">
        <x:v>east-africa-broad-draft-1</x:v>
      </x:c>
      <x:c r="C1263" s="30" t="n">
        <x:v>2191</x:v>
      </x:c>
      <x:c r="D1263" s="32" t="str">
        <x:v>European Bee-eater</x:v>
      </x:c>
      <x:c r="E1263" s="32" t="str">
        <x:v>Merops apiaster</x:v>
      </x:c>
      <x:c r="F1263" s="30" t="str">
        <x:v>uncommon</x:v>
      </x:c>
      <x:c r="G1263" s="30" t="str">
        <x:v>standard</x:v>
      </x:c>
      <x:c r="H1263" s="30" t="str">
        <x:v>year-round</x:v>
      </x:c>
      <x:c r="I12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4">
      <x:c r="A1264" s="36" t="str">
        <x:v>east_africa</x:v>
      </x:c>
      <x:c r="B1264" s="30" t="str">
        <x:v>east-africa-broad-draft-1</x:v>
      </x:c>
      <x:c r="C1264" s="30" t="n">
        <x:v>144468</x:v>
      </x:c>
      <x:c r="D1264" s="32" t="str">
        <x:v>African Hawk-Eagle</x:v>
      </x:c>
      <x:c r="E1264" s="32" t="str">
        <x:v>Aquila spilogaster</x:v>
      </x:c>
      <x:c r="F1264" s="30" t="str">
        <x:v>uncommon</x:v>
      </x:c>
      <x:c r="G1264" s="30" t="str">
        <x:v>standard</x:v>
      </x:c>
      <x:c r="H1264" s="30" t="str">
        <x:v>year-round</x:v>
      </x:c>
      <x:c r="I12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5">
      <x:c r="A1265" s="36" t="str">
        <x:v>east_africa</x:v>
      </x:c>
      <x:c r="B1265" s="30" t="str">
        <x:v>east-africa-broad-draft-1</x:v>
      </x:c>
      <x:c r="C1265" s="30" t="n">
        <x:v>2223</x:v>
      </x:c>
      <x:c r="D1265" s="32" t="str">
        <x:v>Red-throated Bee-eater</x:v>
      </x:c>
      <x:c r="E1265" s="32" t="str">
        <x:v>Merops bulocki</x:v>
      </x:c>
      <x:c r="F1265" s="30" t="str">
        <x:v>uncommon</x:v>
      </x:c>
      <x:c r="G1265" s="30" t="str">
        <x:v>standard</x:v>
      </x:c>
      <x:c r="H1265" s="30" t="str">
        <x:v>year-round</x:v>
      </x:c>
      <x:c r="I12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6">
      <x:c r="A1266" s="36" t="str">
        <x:v>east_africa</x:v>
      </x:c>
      <x:c r="B1266" s="30" t="str">
        <x:v>east-africa-broad-draft-1</x:v>
      </x:c>
      <x:c r="C1266" s="30" t="n">
        <x:v>13704</x:v>
      </x:c>
      <x:c r="D1266" s="32" t="str">
        <x:v>Mountain Wagtail</x:v>
      </x:c>
      <x:c r="E1266" s="32" t="str">
        <x:v>Motacilla clara</x:v>
      </x:c>
      <x:c r="F1266" s="30" t="str">
        <x:v>uncommon</x:v>
      </x:c>
      <x:c r="G1266" s="30" t="str">
        <x:v>standard</x:v>
      </x:c>
      <x:c r="H1266" s="30" t="str">
        <x:v>year-round</x:v>
      </x:c>
      <x:c r="I12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7">
      <x:c r="A1267" s="36" t="str">
        <x:v>east_africa</x:v>
      </x:c>
      <x:c r="B1267" s="30" t="str">
        <x:v>east-africa-broad-draft-1</x:v>
      </x:c>
      <x:c r="C1267" s="30" t="n">
        <x:v>13811</x:v>
      </x:c>
      <x:c r="D1267" s="32" t="str">
        <x:v>Taveta Golden-Weaver</x:v>
      </x:c>
      <x:c r="E1267" s="32" t="str">
        <x:v>Ploceus castaneiceps</x:v>
      </x:c>
      <x:c r="F1267" s="30" t="str">
        <x:v>uncommon</x:v>
      </x:c>
      <x:c r="G1267" s="30" t="str">
        <x:v>standard</x:v>
      </x:c>
      <x:c r="H1267" s="30" t="str">
        <x:v>year-round</x:v>
      </x:c>
      <x:c r="I12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8">
      <x:c r="A1268" s="36" t="str">
        <x:v>east_africa</x:v>
      </x:c>
      <x:c r="B1268" s="30" t="str">
        <x:v>east-africa-broad-draft-1</x:v>
      </x:c>
      <x:c r="C1268" s="30" t="n">
        <x:v>145175</x:v>
      </x:c>
      <x:c r="D1268" s="32" t="str">
        <x:v>Purple-banded Sunbird</x:v>
      </x:c>
      <x:c r="E1268" s="32" t="str">
        <x:v>Cinnyris bifasciatus</x:v>
      </x:c>
      <x:c r="F1268" s="30" t="str">
        <x:v>uncommon</x:v>
      </x:c>
      <x:c r="G1268" s="30" t="str">
        <x:v>standard</x:v>
      </x:c>
      <x:c r="H1268" s="30" t="str">
        <x:v>year-round</x:v>
      </x:c>
      <x:c r="I12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69">
      <x:c r="A1269" s="36" t="str">
        <x:v>east_africa</x:v>
      </x:c>
      <x:c r="B1269" s="30" t="str">
        <x:v>east-africa-broad-draft-1</x:v>
      </x:c>
      <x:c r="C1269" s="30" t="n">
        <x:v>9202</x:v>
      </x:c>
      <x:c r="D1269" s="32" t="str">
        <x:v>Golden-breasted Bunting</x:v>
      </x:c>
      <x:c r="E1269" s="32" t="str">
        <x:v>Emberiza flaviventris</x:v>
      </x:c>
      <x:c r="F1269" s="30" t="str">
        <x:v>uncommon</x:v>
      </x:c>
      <x:c r="G1269" s="30" t="str">
        <x:v>standard</x:v>
      </x:c>
      <x:c r="H1269" s="30" t="str">
        <x:v>year-round</x:v>
      </x:c>
      <x:c r="I12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0">
      <x:c r="A1270" s="36" t="str">
        <x:v>east_africa</x:v>
      </x:c>
      <x:c r="B1270" s="30" t="str">
        <x:v>east-africa-broad-draft-1</x:v>
      </x:c>
      <x:c r="C1270" s="30" t="n">
        <x:v>144298</x:v>
      </x:c>
      <x:c r="D1270" s="32" t="str">
        <x:v>Mocking Cliff-Chat</x:v>
      </x:c>
      <x:c r="E1270" s="32" t="str">
        <x:v>Thamnolaea cinnamomeiventris</x:v>
      </x:c>
      <x:c r="F1270" s="30" t="str">
        <x:v>uncommon</x:v>
      </x:c>
      <x:c r="G1270" s="30" t="str">
        <x:v>standard</x:v>
      </x:c>
      <x:c r="H1270" s="30" t="str">
        <x:v>year-round</x:v>
      </x:c>
      <x:c r="I12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1">
      <x:c r="A1271" s="36" t="str">
        <x:v>east_africa</x:v>
      </x:c>
      <x:c r="B1271" s="30" t="str">
        <x:v>east-africa-broad-draft-1</x:v>
      </x:c>
      <x:c r="C1271" s="30" t="n">
        <x:v>495992</x:v>
      </x:c>
      <x:c r="D1271" s="32" t="str">
        <x:v>Gray-breasted Spurfowl</x:v>
      </x:c>
      <x:c r="E1271" s="32" t="str">
        <x:v>Pternistis rufopictus</x:v>
      </x:c>
      <x:c r="F1271" s="30" t="str">
        <x:v>uncommon</x:v>
      </x:c>
      <x:c r="G1271" s="30" t="str">
        <x:v>standard</x:v>
      </x:c>
      <x:c r="H1271" s="30" t="str">
        <x:v>year-round</x:v>
      </x:c>
      <x:c r="I12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2">
      <x:c r="A1272" s="36" t="str">
        <x:v>east_africa</x:v>
      </x:c>
      <x:c r="B1272" s="30" t="str">
        <x:v>east-africa-broad-draft-1</x:v>
      </x:c>
      <x:c r="C1272" s="30" t="n">
        <x:v>204449</x:v>
      </x:c>
      <x:c r="D1272" s="32" t="str">
        <x:v>Eastern Paradise-Whydah</x:v>
      </x:c>
      <x:c r="E1272" s="32" t="str">
        <x:v>Vidua paradisaea</x:v>
      </x:c>
      <x:c r="F1272" s="30" t="str">
        <x:v>uncommon</x:v>
      </x:c>
      <x:c r="G1272" s="30" t="str">
        <x:v>standard</x:v>
      </x:c>
      <x:c r="H1272" s="30" t="str">
        <x:v>year-round</x:v>
      </x:c>
      <x:c r="I12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3">
      <x:c r="A1273" s="36" t="str">
        <x:v>east_africa</x:v>
      </x:c>
      <x:c r="B1273" s="30" t="str">
        <x:v>east-africa-broad-draft-1</x:v>
      </x:c>
      <x:c r="C1273" s="30" t="n">
        <x:v>472766</x:v>
      </x:c>
      <x:c r="D1273" s="32" t="str">
        <x:v>Eurasian Kestrel</x:v>
      </x:c>
      <x:c r="E1273" s="32" t="str">
        <x:v>Falco tinnunculus</x:v>
      </x:c>
      <x:c r="F1273" s="30" t="str">
        <x:v>uncommon</x:v>
      </x:c>
      <x:c r="G1273" s="30" t="str">
        <x:v>standard</x:v>
      </x:c>
      <x:c r="H1273" s="30" t="str">
        <x:v>year-round</x:v>
      </x:c>
      <x:c r="I12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4">
      <x:c r="A1274" s="36" t="str">
        <x:v>east_africa</x:v>
      </x:c>
      <x:c r="B1274" s="30" t="str">
        <x:v>east-africa-broad-draft-1</x:v>
      </x:c>
      <x:c r="C1274" s="30" t="n">
        <x:v>11945</x:v>
      </x:c>
      <x:c r="D1274" s="32" t="str">
        <x:v>Brown-throated Martin</x:v>
      </x:c>
      <x:c r="E1274" s="32" t="str">
        <x:v>Riparia paludicola</x:v>
      </x:c>
      <x:c r="F1274" s="30" t="str">
        <x:v>uncommon</x:v>
      </x:c>
      <x:c r="G1274" s="30" t="str">
        <x:v>standard</x:v>
      </x:c>
      <x:c r="H1274" s="30" t="str">
        <x:v>year-round</x:v>
      </x:c>
      <x:c r="I12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5">
      <x:c r="A1275" s="36" t="str">
        <x:v>east_africa</x:v>
      </x:c>
      <x:c r="B1275" s="30" t="str">
        <x:v>east-africa-broad-draft-1</x:v>
      </x:c>
      <x:c r="C1275" s="30" t="n">
        <x:v>13366</x:v>
      </x:c>
      <x:c r="D1275" s="32" t="str">
        <x:v>Eastern Violet-backed Sunbird</x:v>
      </x:c>
      <x:c r="E1275" s="32" t="str">
        <x:v>Anthreptes orientalis</x:v>
      </x:c>
      <x:c r="F1275" s="30" t="str">
        <x:v>uncommon</x:v>
      </x:c>
      <x:c r="G1275" s="30" t="str">
        <x:v>standard</x:v>
      </x:c>
      <x:c r="H1275" s="30" t="str">
        <x:v>year-round</x:v>
      </x:c>
      <x:c r="I12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6">
      <x:c r="A1276" s="36" t="str">
        <x:v>east_africa</x:v>
      </x:c>
      <x:c r="B1276" s="30" t="str">
        <x:v>east-africa-broad-draft-1</x:v>
      </x:c>
      <x:c r="C1276" s="30" t="n">
        <x:v>12839</x:v>
      </x:c>
      <x:c r="D1276" s="32" t="str">
        <x:v>Capped Wheatear</x:v>
      </x:c>
      <x:c r="E1276" s="32" t="str">
        <x:v>Oenanthe pileata</x:v>
      </x:c>
      <x:c r="F1276" s="30" t="str">
        <x:v>uncommon</x:v>
      </x:c>
      <x:c r="G1276" s="30" t="str">
        <x:v>standard</x:v>
      </x:c>
      <x:c r="H1276" s="30" t="str">
        <x:v>year-round</x:v>
      </x:c>
      <x:c r="I12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7">
      <x:c r="A1277" s="36" t="str">
        <x:v>east_africa</x:v>
      </x:c>
      <x:c r="B1277" s="30" t="str">
        <x:v>east-africa-broad-draft-1</x:v>
      </x:c>
      <x:c r="C1277" s="30" t="n">
        <x:v>8313</x:v>
      </x:c>
      <x:c r="D1277" s="32" t="str">
        <x:v>Black Cuckooshrike</x:v>
      </x:c>
      <x:c r="E1277" s="32" t="str">
        <x:v>Campephaga flava</x:v>
      </x:c>
      <x:c r="F1277" s="30" t="str">
        <x:v>uncommon</x:v>
      </x:c>
      <x:c r="G1277" s="30" t="str">
        <x:v>standard</x:v>
      </x:c>
      <x:c r="H1277" s="30" t="str">
        <x:v>year-round</x:v>
      </x:c>
      <x:c r="I12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8">
      <x:c r="A1278" s="36" t="str">
        <x:v>east_africa</x:v>
      </x:c>
      <x:c r="B1278" s="30" t="str">
        <x:v>east-africa-broad-draft-1</x:v>
      </x:c>
      <x:c r="C1278" s="30" t="n">
        <x:v>13835</x:v>
      </x:c>
      <x:c r="D1278" s="32" t="str">
        <x:v>Golden-backed Weaver</x:v>
      </x:c>
      <x:c r="E1278" s="32" t="str">
        <x:v>Ploceus jacksoni</x:v>
      </x:c>
      <x:c r="F1278" s="30" t="str">
        <x:v>uncommon</x:v>
      </x:c>
      <x:c r="G1278" s="30" t="str">
        <x:v>standard</x:v>
      </x:c>
      <x:c r="H1278" s="30" t="str">
        <x:v>year-round</x:v>
      </x:c>
      <x:c r="I12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79">
      <x:c r="A1279" s="36" t="str">
        <x:v>east_africa</x:v>
      </x:c>
      <x:c r="B1279" s="30" t="str">
        <x:v>east-africa-broad-draft-1</x:v>
      </x:c>
      <x:c r="C1279" s="30" t="n">
        <x:v>4864</x:v>
      </x:c>
      <x:c r="D1279" s="32" t="str">
        <x:v>Black-winged Lapwing</x:v>
      </x:c>
      <x:c r="E1279" s="32" t="str">
        <x:v>Vanellus melanopterus</x:v>
      </x:c>
      <x:c r="F1279" s="30" t="str">
        <x:v>uncommon</x:v>
      </x:c>
      <x:c r="G1279" s="30" t="str">
        <x:v>standard</x:v>
      </x:c>
      <x:c r="H1279" s="30" t="str">
        <x:v>year-round</x:v>
      </x:c>
      <x:c r="I12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0">
      <x:c r="A1280" s="36" t="str">
        <x:v>east_africa</x:v>
      </x:c>
      <x:c r="B1280" s="30" t="str">
        <x:v>east-africa-broad-draft-1</x:v>
      </x:c>
      <x:c r="C1280" s="30" t="n">
        <x:v>12795</x:v>
      </x:c>
      <x:c r="D1280" s="32" t="str">
        <x:v>Rüppell's Robin-Chat</x:v>
      </x:c>
      <x:c r="E1280" s="32" t="str">
        <x:v>Cossypha semirufa</x:v>
      </x:c>
      <x:c r="F1280" s="30" t="str">
        <x:v>uncommon</x:v>
      </x:c>
      <x:c r="G1280" s="30" t="str">
        <x:v>standard</x:v>
      </x:c>
      <x:c r="H1280" s="30" t="str">
        <x:v>year-round</x:v>
      </x:c>
      <x:c r="I12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1">
      <x:c r="A1281" s="36" t="str">
        <x:v>east_africa</x:v>
      </x:c>
      <x:c r="B1281" s="30" t="str">
        <x:v>east-africa-broad-draft-1</x:v>
      </x:c>
      <x:c r="C1281" s="30" t="n">
        <x:v>15253</x:v>
      </x:c>
      <x:c r="D1281" s="32" t="str">
        <x:v>Red-faced Crombec</x:v>
      </x:c>
      <x:c r="E1281" s="32" t="str">
        <x:v>Sylvietta whytii</x:v>
      </x:c>
      <x:c r="F1281" s="30" t="str">
        <x:v>uncommon</x:v>
      </x:c>
      <x:c r="G1281" s="30" t="str">
        <x:v>standard</x:v>
      </x:c>
      <x:c r="H1281" s="30" t="str">
        <x:v>year-round</x:v>
      </x:c>
      <x:c r="I12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2">
      <x:c r="A1282" s="36" t="str">
        <x:v>east_africa</x:v>
      </x:c>
      <x:c r="B1282" s="30" t="str">
        <x:v>east-africa-broad-draft-1</x:v>
      </x:c>
      <x:c r="C1282" s="30" t="n">
        <x:v>5167</x:v>
      </x:c>
      <x:c r="D1282" s="32" t="str">
        <x:v>Montagu's Harrier</x:v>
      </x:c>
      <x:c r="E1282" s="32" t="str">
        <x:v>Circus pygargus</x:v>
      </x:c>
      <x:c r="F1282" s="30" t="str">
        <x:v>uncommon</x:v>
      </x:c>
      <x:c r="G1282" s="30" t="str">
        <x:v>standard</x:v>
      </x:c>
      <x:c r="H1282" s="30" t="str">
        <x:v>year-round</x:v>
      </x:c>
      <x:c r="I12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3">
      <x:c r="A1283" s="36" t="str">
        <x:v>east_africa</x:v>
      </x:c>
      <x:c r="B1283" s="30" t="str">
        <x:v>east-africa-broad-draft-1</x:v>
      </x:c>
      <x:c r="C1283" s="30" t="n">
        <x:v>13965</x:v>
      </x:c>
      <x:c r="D1283" s="32" t="str">
        <x:v>White-winged Widowbird</x:v>
      </x:c>
      <x:c r="E1283" s="32" t="str">
        <x:v>Euplectes albonotatus</x:v>
      </x:c>
      <x:c r="F1283" s="30" t="str">
        <x:v>uncommon</x:v>
      </x:c>
      <x:c r="G1283" s="30" t="str">
        <x:v>standard</x:v>
      </x:c>
      <x:c r="H1283" s="30" t="str">
        <x:v>year-round</x:v>
      </x:c>
      <x:c r="I12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4">
      <x:c r="A1284" s="36" t="str">
        <x:v>east_africa</x:v>
      </x:c>
      <x:c r="B1284" s="30" t="str">
        <x:v>east-africa-broad-draft-1</x:v>
      </x:c>
      <x:c r="C1284" s="30" t="n">
        <x:v>8371</x:v>
      </x:c>
      <x:c r="D1284" s="32" t="str">
        <x:v>Piapiac</x:v>
      </x:c>
      <x:c r="E1284" s="32" t="str">
        <x:v>Ptilostomus afer</x:v>
      </x:c>
      <x:c r="F1284" s="30" t="str">
        <x:v>uncommon</x:v>
      </x:c>
      <x:c r="G1284" s="30" t="str">
        <x:v>standard</x:v>
      </x:c>
      <x:c r="H1284" s="30" t="str">
        <x:v>year-round</x:v>
      </x:c>
      <x:c r="I12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5">
      <x:c r="A1285" s="36" t="str">
        <x:v>east_africa</x:v>
      </x:c>
      <x:c r="B1285" s="30" t="str">
        <x:v>east-africa-broad-draft-1</x:v>
      </x:c>
      <x:c r="C1285" s="30" t="n">
        <x:v>145348</x:v>
      </x:c>
      <x:c r="D1285" s="32" t="str">
        <x:v>Black-and-white Mannikin</x:v>
      </x:c>
      <x:c r="E1285" s="32" t="str">
        <x:v>Spermestes bicolor</x:v>
      </x:c>
      <x:c r="F1285" s="30" t="str">
        <x:v>uncommon</x:v>
      </x:c>
      <x:c r="G1285" s="30" t="str">
        <x:v>standard</x:v>
      </x:c>
      <x:c r="H1285" s="30" t="str">
        <x:v>year-round</x:v>
      </x:c>
      <x:c r="I12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6">
      <x:c r="A1286" s="36" t="str">
        <x:v>east_africa</x:v>
      </x:c>
      <x:c r="B1286" s="30" t="str">
        <x:v>east-africa-broad-draft-1</x:v>
      </x:c>
      <x:c r="C1286" s="30" t="n">
        <x:v>13966</x:v>
      </x:c>
      <x:c r="D1286" s="32" t="str">
        <x:v>Northern Red Bishop</x:v>
      </x:c>
      <x:c r="E1286" s="32" t="str">
        <x:v>Euplectes franciscanus</x:v>
      </x:c>
      <x:c r="F1286" s="30" t="str">
        <x:v>uncommon</x:v>
      </x:c>
      <x:c r="G1286" s="30" t="str">
        <x:v>standard</x:v>
      </x:c>
      <x:c r="H1286" s="30" t="str">
        <x:v>year-round</x:v>
      </x:c>
      <x:c r="I12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7">
      <x:c r="A1287" s="36" t="str">
        <x:v>east_africa</x:v>
      </x:c>
      <x:c r="B1287" s="30" t="str">
        <x:v>east-africa-broad-draft-1</x:v>
      </x:c>
      <x:c r="C1287" s="30" t="n">
        <x:v>11909</x:v>
      </x:c>
      <x:c r="D1287" s="32" t="str">
        <x:v>Angola Swallow</x:v>
      </x:c>
      <x:c r="E1287" s="32" t="str">
        <x:v>Hirundo angolensis</x:v>
      </x:c>
      <x:c r="F1287" s="30" t="str">
        <x:v>uncommon</x:v>
      </x:c>
      <x:c r="G1287" s="30" t="str">
        <x:v>standard</x:v>
      </x:c>
      <x:c r="H1287" s="30" t="str">
        <x:v>year-round</x:v>
      </x:c>
      <x:c r="I12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8">
      <x:c r="A1288" s="36" t="str">
        <x:v>east_africa</x:v>
      </x:c>
      <x:c r="B1288" s="30" t="str">
        <x:v>east-africa-broad-draft-1</x:v>
      </x:c>
      <x:c r="C1288" s="30" t="n">
        <x:v>19965</x:v>
      </x:c>
      <x:c r="D1288" s="32" t="str">
        <x:v>African Wood-Owl</x:v>
      </x:c>
      <x:c r="E1288" s="32" t="str">
        <x:v>Strix woodfordii</x:v>
      </x:c>
      <x:c r="F1288" s="30" t="str">
        <x:v>uncommon</x:v>
      </x:c>
      <x:c r="G1288" s="30" t="str">
        <x:v>standard</x:v>
      </x:c>
      <x:c r="H1288" s="30" t="str">
        <x:v>year-round</x:v>
      </x:c>
      <x:c r="I12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89">
      <x:c r="A1289" s="36" t="str">
        <x:v>east_africa</x:v>
      </x:c>
      <x:c r="B1289" s="30" t="str">
        <x:v>east-africa-broad-draft-1</x:v>
      </x:c>
      <x:c r="C1289" s="30" t="n">
        <x:v>5484</x:v>
      </x:c>
      <x:c r="D1289" s="32" t="str">
        <x:v>Eastern Yellow-billed Hornbill</x:v>
      </x:c>
      <x:c r="E1289" s="32" t="str">
        <x:v>Tockus flavirostris</x:v>
      </x:c>
      <x:c r="F1289" s="30" t="str">
        <x:v>uncommon</x:v>
      </x:c>
      <x:c r="G1289" s="30" t="str">
        <x:v>standard</x:v>
      </x:c>
      <x:c r="H1289" s="30" t="str">
        <x:v>year-round</x:v>
      </x:c>
      <x:c r="I12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0">
      <x:c r="A1290" s="36" t="str">
        <x:v>east_africa</x:v>
      </x:c>
      <x:c r="B1290" s="30" t="str">
        <x:v>east-africa-broad-draft-1</x:v>
      </x:c>
      <x:c r="C1290" s="30" t="n">
        <x:v>145131</x:v>
      </x:c>
      <x:c r="D1290" s="32" t="str">
        <x:v>Green-headed Sunbird</x:v>
      </x:c>
      <x:c r="E1290" s="32" t="str">
        <x:v>Cyanomitra verticalis</x:v>
      </x:c>
      <x:c r="F1290" s="30" t="str">
        <x:v>uncommon</x:v>
      </x:c>
      <x:c r="G1290" s="30" t="str">
        <x:v>standard</x:v>
      </x:c>
      <x:c r="H1290" s="30" t="str">
        <x:v>year-round</x:v>
      </x:c>
      <x:c r="I12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1">
      <x:c r="A1291" s="36" t="str">
        <x:v>east_africa</x:v>
      </x:c>
      <x:c r="B1291" s="30" t="str">
        <x:v>east-africa-broad-draft-1</x:v>
      </x:c>
      <x:c r="C1291" s="30" t="n">
        <x:v>145335</x:v>
      </x:c>
      <x:c r="D1291" s="32" t="str">
        <x:v>Yellow-bellied Waxbill</x:v>
      </x:c>
      <x:c r="E1291" s="32" t="str">
        <x:v>Coccopygia quartinia</x:v>
      </x:c>
      <x:c r="F1291" s="30" t="str">
        <x:v>uncommon</x:v>
      </x:c>
      <x:c r="G1291" s="30" t="str">
        <x:v>standard</x:v>
      </x:c>
      <x:c r="H1291" s="30" t="str">
        <x:v>year-round</x:v>
      </x:c>
      <x:c r="I12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2">
      <x:c r="A1292" s="36" t="str">
        <x:v>east_africa</x:v>
      </x:c>
      <x:c r="B1292" s="30" t="str">
        <x:v>east-africa-broad-draft-1</x:v>
      </x:c>
      <x:c r="C1292" s="30" t="n">
        <x:v>979654</x:v>
      </x:c>
      <x:c r="D1292" s="32" t="str">
        <x:v>Eastern Double-collared Sunbird</x:v>
      </x:c>
      <x:c r="E1292" s="32" t="str">
        <x:v>Cinnyris mediocris</x:v>
      </x:c>
      <x:c r="F1292" s="30" t="str">
        <x:v>uncommon</x:v>
      </x:c>
      <x:c r="G1292" s="30" t="str">
        <x:v>standard</x:v>
      </x:c>
      <x:c r="H1292" s="30" t="str">
        <x:v>year-round</x:v>
      </x:c>
      <x:c r="I12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3">
      <x:c r="A1293" s="36" t="str">
        <x:v>east_africa</x:v>
      </x:c>
      <x:c r="B1293" s="30" t="str">
        <x:v>east-africa-broad-draft-1</x:v>
      </x:c>
      <x:c r="C1293" s="30" t="n">
        <x:v>3901</x:v>
      </x:c>
      <x:c r="D1293" s="32" t="str">
        <x:v>Eurasian Whimbrel</x:v>
      </x:c>
      <x:c r="E1293" s="32" t="str">
        <x:v>Numenius phaeopus</x:v>
      </x:c>
      <x:c r="F1293" s="30" t="str">
        <x:v>uncommon</x:v>
      </x:c>
      <x:c r="G1293" s="30" t="str">
        <x:v>standard</x:v>
      </x:c>
      <x:c r="H1293" s="30" t="str">
        <x:v>year-round</x:v>
      </x:c>
      <x:c r="I12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4">
      <x:c r="A1294" s="36" t="str">
        <x:v>east_africa</x:v>
      </x:c>
      <x:c r="B1294" s="30" t="str">
        <x:v>east-africa-broad-draft-1</x:v>
      </x:c>
      <x:c r="C1294" s="30" t="n">
        <x:v>62148</x:v>
      </x:c>
      <x:c r="D1294" s="32" t="str">
        <x:v>Whiskered Tern</x:v>
      </x:c>
      <x:c r="E1294" s="32" t="str">
        <x:v>Chlidonias hybrida</x:v>
      </x:c>
      <x:c r="F1294" s="30" t="str">
        <x:v>uncommon</x:v>
      </x:c>
      <x:c r="G1294" s="30" t="str">
        <x:v>standard</x:v>
      </x:c>
      <x:c r="H1294" s="30" t="str">
        <x:v>year-round</x:v>
      </x:c>
      <x:c r="I12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5">
      <x:c r="A1295" s="36" t="str">
        <x:v>east_africa</x:v>
      </x:c>
      <x:c r="B1295" s="30" t="str">
        <x:v>east-africa-broad-draft-1</x:v>
      </x:c>
      <x:c r="C1295" s="30" t="n">
        <x:v>14096</x:v>
      </x:c>
      <x:c r="D1295" s="32" t="str">
        <x:v>Cut-throat Finch</x:v>
      </x:c>
      <x:c r="E1295" s="32" t="str">
        <x:v>Amadina fasciata</x:v>
      </x:c>
      <x:c r="F1295" s="30" t="str">
        <x:v>uncommon</x:v>
      </x:c>
      <x:c r="G1295" s="30" t="str">
        <x:v>standard</x:v>
      </x:c>
      <x:c r="H1295" s="30" t="str">
        <x:v>year-round</x:v>
      </x:c>
      <x:c r="I12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6">
      <x:c r="A1296" s="36" t="str">
        <x:v>east_africa</x:v>
      </x:c>
      <x:c r="B1296" s="30" t="str">
        <x:v>east-africa-broad-draft-1</x:v>
      </x:c>
      <x:c r="C1296" s="30" t="n">
        <x:v>144659</x:v>
      </x:c>
      <x:c r="D1296" s="32" t="str">
        <x:v>Purple Roller</x:v>
      </x:c>
      <x:c r="E1296" s="32" t="str">
        <x:v>Coracias naevius</x:v>
      </x:c>
      <x:c r="F1296" s="30" t="str">
        <x:v>uncommon</x:v>
      </x:c>
      <x:c r="G1296" s="30" t="str">
        <x:v>standard</x:v>
      </x:c>
      <x:c r="H1296" s="30" t="str">
        <x:v>year-round</x:v>
      </x:c>
      <x:c r="I12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7">
      <x:c r="A1297" s="36" t="str">
        <x:v>east_africa</x:v>
      </x:c>
      <x:c r="B1297" s="30" t="str">
        <x:v>east-africa-broad-draft-1</x:v>
      </x:c>
      <x:c r="C1297" s="30" t="n">
        <x:v>145169</x:v>
      </x:c>
      <x:c r="D1297" s="32" t="str">
        <x:v>Beautiful Sunbird</x:v>
      </x:c>
      <x:c r="E1297" s="32" t="str">
        <x:v>Cinnyris pulchellus</x:v>
      </x:c>
      <x:c r="F1297" s="30" t="str">
        <x:v>uncommon</x:v>
      </x:c>
      <x:c r="G1297" s="30" t="str">
        <x:v>standard</x:v>
      </x:c>
      <x:c r="H1297" s="30" t="str">
        <x:v>year-round</x:v>
      </x:c>
      <x:c r="I12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8">
      <x:c r="A1298" s="36" t="str">
        <x:v>east_africa</x:v>
      </x:c>
      <x:c r="B1298" s="30" t="str">
        <x:v>east-africa-broad-draft-1</x:v>
      </x:c>
      <x:c r="C1298" s="30" t="n">
        <x:v>73533</x:v>
      </x:c>
      <x:c r="D1298" s="32" t="str">
        <x:v>Northern Pied-Babbler</x:v>
      </x:c>
      <x:c r="E1298" s="32" t="str">
        <x:v>Turdoides hypoleuca</x:v>
      </x:c>
      <x:c r="F1298" s="30" t="str">
        <x:v>uncommon</x:v>
      </x:c>
      <x:c r="G1298" s="30" t="str">
        <x:v>standard</x:v>
      </x:c>
      <x:c r="H1298" s="30" t="str">
        <x:v>year-round</x:v>
      </x:c>
      <x:c r="I12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299">
      <x:c r="A1299" s="36" t="str">
        <x:v>east_africa</x:v>
      </x:c>
      <x:c r="B1299" s="30" t="str">
        <x:v>east-africa-broad-draft-1</x:v>
      </x:c>
      <x:c r="C1299" s="30" t="n">
        <x:v>1435814</x:v>
      </x:c>
      <x:c r="D1299" s="32" t="str">
        <x:v>Ethiopian Bee-eater</x:v>
      </x:c>
      <x:c r="E1299" s="32" t="str">
        <x:v>Merops lafresnayii</x:v>
      </x:c>
      <x:c r="F1299" s="30" t="str">
        <x:v>uncommon</x:v>
      </x:c>
      <x:c r="G1299" s="30" t="str">
        <x:v>standard</x:v>
      </x:c>
      <x:c r="H1299" s="30" t="str">
        <x:v>year-round</x:v>
      </x:c>
      <x:c r="I12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0">
      <x:c r="A1300" s="36" t="str">
        <x:v>east_africa</x:v>
      </x:c>
      <x:c r="B1300" s="30" t="str">
        <x:v>east-africa-broad-draft-1</x:v>
      </x:c>
      <x:c r="C1300" s="30" t="n">
        <x:v>367672</x:v>
      </x:c>
      <x:c r="D1300" s="32" t="str">
        <x:v>Abyssinian Wheatear</x:v>
      </x:c>
      <x:c r="E1300" s="32" t="str">
        <x:v>Oenanthe lugubris</x:v>
      </x:c>
      <x:c r="F1300" s="30" t="str">
        <x:v>uncommon</x:v>
      </x:c>
      <x:c r="G1300" s="30" t="str">
        <x:v>standard</x:v>
      </x:c>
      <x:c r="H1300" s="30" t="str">
        <x:v>year-round</x:v>
      </x:c>
      <x:c r="I13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1">
      <x:c r="A1301" s="36" t="str">
        <x:v>east_africa</x:v>
      </x:c>
      <x:c r="B1301" s="30" t="str">
        <x:v>east-africa-broad-draft-1</x:v>
      </x:c>
      <x:c r="C1301" s="30" t="n">
        <x:v>3746</x:v>
      </x:c>
      <x:c r="D1301" s="32" t="str">
        <x:v>Wattled Ibis</x:v>
      </x:c>
      <x:c r="E1301" s="32" t="str">
        <x:v>Bostrychia carunculata</x:v>
      </x:c>
      <x:c r="F1301" s="30" t="str">
        <x:v>uncommon</x:v>
      </x:c>
      <x:c r="G1301" s="30" t="str">
        <x:v>standard</x:v>
      </x:c>
      <x:c r="H1301" s="30" t="str">
        <x:v>year-round</x:v>
      </x:c>
      <x:c r="I13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2">
      <x:c r="A1302" s="36" t="str">
        <x:v>east_africa</x:v>
      </x:c>
      <x:c r="B1302" s="30" t="str">
        <x:v>east-africa-broad-draft-1</x:v>
      </x:c>
      <x:c r="C1302" s="30" t="n">
        <x:v>793461</x:v>
      </x:c>
      <x:c r="D1302" s="32" t="str">
        <x:v>Yellow-rumped Tinkerbird</x:v>
      </x:c>
      <x:c r="E1302" s="32" t="str">
        <x:v>Pogoniulus bilineatus</x:v>
      </x:c>
      <x:c r="F1302" s="30" t="str">
        <x:v>uncommon</x:v>
      </x:c>
      <x:c r="G1302" s="30" t="str">
        <x:v>standard</x:v>
      </x:c>
      <x:c r="H1302" s="30" t="str">
        <x:v>year-round</x:v>
      </x:c>
      <x:c r="I13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3">
      <x:c r="A1303" s="36" t="str">
        <x:v>east_africa</x:v>
      </x:c>
      <x:c r="B1303" s="30" t="str">
        <x:v>east-africa-broad-draft-1</x:v>
      </x:c>
      <x:c r="C1303" s="30" t="n">
        <x:v>145154</x:v>
      </x:c>
      <x:c r="D1303" s="32" t="str">
        <x:v>Olive-bellied Sunbird</x:v>
      </x:c>
      <x:c r="E1303" s="32" t="str">
        <x:v>Cinnyris chloropygius</x:v>
      </x:c>
      <x:c r="F1303" s="30" t="str">
        <x:v>uncommon</x:v>
      </x:c>
      <x:c r="G1303" s="30" t="str">
        <x:v>standard</x:v>
      </x:c>
      <x:c r="H1303" s="30" t="str">
        <x:v>year-round</x:v>
      </x:c>
      <x:c r="I13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4">
      <x:c r="A1304" s="36" t="str">
        <x:v>east_africa</x:v>
      </x:c>
      <x:c r="B1304" s="30" t="str">
        <x:v>east-africa-broad-draft-1</x:v>
      </x:c>
      <x:c r="C1304" s="30" t="n">
        <x:v>13786</x:v>
      </x:c>
      <x:c r="D1304" s="32" t="str">
        <x:v>Chestnut Weaver</x:v>
      </x:c>
      <x:c r="E1304" s="32" t="str">
        <x:v>Ploceus rubiginosus</x:v>
      </x:c>
      <x:c r="F1304" s="30" t="str">
        <x:v>uncommon</x:v>
      </x:c>
      <x:c r="G1304" s="30" t="str">
        <x:v>standard</x:v>
      </x:c>
      <x:c r="H1304" s="30" t="str">
        <x:v>year-round</x:v>
      </x:c>
      <x:c r="I13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5">
      <x:c r="A1305" s="36" t="str">
        <x:v>east_africa</x:v>
      </x:c>
      <x:c r="B1305" s="30" t="str">
        <x:v>east-africa-broad-draft-1</x:v>
      </x:c>
      <x:c r="C1305" s="30" t="n">
        <x:v>4861</x:v>
      </x:c>
      <x:c r="D1305" s="32" t="str">
        <x:v>Senegal Lapwing</x:v>
      </x:c>
      <x:c r="E1305" s="32" t="str">
        <x:v>Vanellus lugubris</x:v>
      </x:c>
      <x:c r="F1305" s="30" t="str">
        <x:v>uncommon</x:v>
      </x:c>
      <x:c r="G1305" s="30" t="str">
        <x:v>standard</x:v>
      </x:c>
      <x:c r="H1305" s="30" t="str">
        <x:v>year-round</x:v>
      </x:c>
      <x:c r="I13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6">
      <x:c r="A1306" s="36" t="str">
        <x:v>east_africa</x:v>
      </x:c>
      <x:c r="B1306" s="30" t="str">
        <x:v>east-africa-broad-draft-1</x:v>
      </x:c>
      <x:c r="C1306" s="30" t="n">
        <x:v>2265</x:v>
      </x:c>
      <x:c r="D1306" s="32" t="str">
        <x:v>Abyssinian Roller</x:v>
      </x:c>
      <x:c r="E1306" s="32" t="str">
        <x:v>Coracias abyssinicus</x:v>
      </x:c>
      <x:c r="F1306" s="30" t="str">
        <x:v>uncommon</x:v>
      </x:c>
      <x:c r="G1306" s="30" t="str">
        <x:v>standard</x:v>
      </x:c>
      <x:c r="H1306" s="30" t="str">
        <x:v>year-round</x:v>
      </x:c>
      <x:c r="I13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7">
      <x:c r="A1307" s="36" t="str">
        <x:v>east_africa</x:v>
      </x:c>
      <x:c r="B1307" s="30" t="str">
        <x:v>east-africa-broad-draft-1</x:v>
      </x:c>
      <x:c r="C1307" s="30" t="n">
        <x:v>495976</x:v>
      </x:c>
      <x:c r="D1307" s="32" t="str">
        <x:v>Hildebrandt's Spurfowl</x:v>
      </x:c>
      <x:c r="E1307" s="32" t="str">
        <x:v>Pternistis hildebrandti</x:v>
      </x:c>
      <x:c r="F1307" s="30" t="str">
        <x:v>uncommon</x:v>
      </x:c>
      <x:c r="G1307" s="30" t="str">
        <x:v>standard</x:v>
      </x:c>
      <x:c r="H1307" s="30" t="str">
        <x:v>year-round</x:v>
      </x:c>
      <x:c r="I13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8">
      <x:c r="A1308" s="36" t="str">
        <x:v>east_africa</x:v>
      </x:c>
      <x:c r="B1308" s="30" t="str">
        <x:v>east-africa-broad-draft-1</x:v>
      </x:c>
      <x:c r="C1308" s="30" t="n">
        <x:v>144763</x:v>
      </x:c>
      <x:c r="D1308" s="32" t="str">
        <x:v>Pink-breasted Lark</x:v>
      </x:c>
      <x:c r="E1308" s="32" t="str">
        <x:v>Calendulauda poecilosterna</x:v>
      </x:c>
      <x:c r="F1308" s="30" t="str">
        <x:v>uncommon</x:v>
      </x:c>
      <x:c r="G1308" s="30" t="str">
        <x:v>standard</x:v>
      </x:c>
      <x:c r="H1308" s="30" t="str">
        <x:v>year-round</x:v>
      </x:c>
      <x:c r="I13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09">
      <x:c r="A1309" s="36" t="str">
        <x:v>east_africa</x:v>
      </x:c>
      <x:c r="B1309" s="30" t="str">
        <x:v>east-africa-broad-draft-1</x:v>
      </x:c>
      <x:c r="C1309" s="30" t="n">
        <x:v>12830</x:v>
      </x:c>
      <x:c r="D1309" s="32" t="str">
        <x:v>Pied Wheatear</x:v>
      </x:c>
      <x:c r="E1309" s="32" t="str">
        <x:v>Oenanthe pleschanka</x:v>
      </x:c>
      <x:c r="F1309" s="30" t="str">
        <x:v>uncommon</x:v>
      </x:c>
      <x:c r="G1309" s="30" t="str">
        <x:v>standard</x:v>
      </x:c>
      <x:c r="H1309" s="30" t="str">
        <x:v>year-round</x:v>
      </x:c>
      <x:c r="I13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0">
      <x:c r="A1310" s="36" t="str">
        <x:v>east_africa</x:v>
      </x:c>
      <x:c r="B1310" s="30" t="str">
        <x:v>east-africa-broad-draft-1</x:v>
      </x:c>
      <x:c r="C1310" s="30" t="n">
        <x:v>558628</x:v>
      </x:c>
      <x:c r="D1310" s="32" t="str">
        <x:v>Brown-rumped Seedeater</x:v>
      </x:c>
      <x:c r="E1310" s="32" t="str">
        <x:v>Crithagra tristriata</x:v>
      </x:c>
      <x:c r="F1310" s="30" t="str">
        <x:v>uncommon</x:v>
      </x:c>
      <x:c r="G1310" s="30" t="str">
        <x:v>standard</x:v>
      </x:c>
      <x:c r="H1310" s="30" t="str">
        <x:v>year-round</x:v>
      </x:c>
      <x:c r="I13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1">
      <x:c r="A1311" s="36" t="str">
        <x:v>east_africa</x:v>
      </x:c>
      <x:c r="B1311" s="30" t="str">
        <x:v>east-africa-broad-draft-1</x:v>
      </x:c>
      <x:c r="C1311" s="30" t="n">
        <x:v>204472</x:v>
      </x:c>
      <x:c r="D1311" s="32" t="str">
        <x:v>Common Buzzard</x:v>
      </x:c>
      <x:c r="E1311" s="32" t="str">
        <x:v>Buteo buteo</x:v>
      </x:c>
      <x:c r="F1311" s="30" t="str">
        <x:v>uncommon</x:v>
      </x:c>
      <x:c r="G1311" s="30" t="str">
        <x:v>standard</x:v>
      </x:c>
      <x:c r="H1311" s="30" t="str">
        <x:v>year-round</x:v>
      </x:c>
      <x:c r="I13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2">
      <x:c r="A1312" s="36" t="str">
        <x:v>east_africa</x:v>
      </x:c>
      <x:c r="B1312" s="30" t="str">
        <x:v>east-africa-broad-draft-1</x:v>
      </x:c>
      <x:c r="C1312" s="30" t="n">
        <x:v>339680</x:v>
      </x:c>
      <x:c r="D1312" s="32" t="str">
        <x:v>Red-tailed Shrike</x:v>
      </x:c>
      <x:c r="E1312" s="32" t="str">
        <x:v>Lanius phoenicuroides</x:v>
      </x:c>
      <x:c r="F1312" s="30" t="str">
        <x:v>uncommon</x:v>
      </x:c>
      <x:c r="G1312" s="30" t="str">
        <x:v>standard</x:v>
      </x:c>
      <x:c r="H1312" s="30" t="str">
        <x:v>year-round</x:v>
      </x:c>
      <x:c r="I13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3">
      <x:c r="A1313" s="36" t="str">
        <x:v>east_africa</x:v>
      </x:c>
      <x:c r="B1313" s="30" t="str">
        <x:v>east-africa-broad-draft-1</x:v>
      </x:c>
      <x:c r="C1313" s="30" t="n">
        <x:v>1289421</x:v>
      </x:c>
      <x:c r="D1313" s="32" t="str">
        <x:v>Rufous Chatterer</x:v>
      </x:c>
      <x:c r="E1313" s="32" t="str">
        <x:v>Argya rubiginosa</x:v>
      </x:c>
      <x:c r="F1313" s="30" t="str">
        <x:v>uncommon</x:v>
      </x:c>
      <x:c r="G1313" s="30" t="str">
        <x:v>standard</x:v>
      </x:c>
      <x:c r="H1313" s="30" t="str">
        <x:v>year-round</x:v>
      </x:c>
      <x:c r="I13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4">
      <x:c r="A1314" s="36" t="str">
        <x:v>east_africa</x:v>
      </x:c>
      <x:c r="B1314" s="30" t="str">
        <x:v>east-africa-broad-draft-1</x:v>
      </x:c>
      <x:c r="C1314" s="30" t="n">
        <x:v>3885</x:v>
      </x:c>
      <x:c r="D1314" s="32" t="str">
        <x:v>Green Sandpiper</x:v>
      </x:c>
      <x:c r="E1314" s="32" t="str">
        <x:v>Tringa ochropus</x:v>
      </x:c>
      <x:c r="F1314" s="30" t="str">
        <x:v>uncommon</x:v>
      </x:c>
      <x:c r="G1314" s="30" t="str">
        <x:v>standard</x:v>
      </x:c>
      <x:c r="H1314" s="30" t="str">
        <x:v>year-round</x:v>
      </x:c>
      <x:c r="I13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5">
      <x:c r="A1315" s="36" t="str">
        <x:v>east_africa</x:v>
      </x:c>
      <x:c r="B1315" s="30" t="str">
        <x:v>east-africa-broad-draft-1</x:v>
      </x:c>
      <x:c r="C1315" s="30" t="n">
        <x:v>204470</x:v>
      </x:c>
      <x:c r="D1315" s="32" t="str">
        <x:v>Spotted Eagle-Owl</x:v>
      </x:c>
      <x:c r="E1315" s="32" t="str">
        <x:v>Bubo africanus</x:v>
      </x:c>
      <x:c r="F1315" s="30" t="str">
        <x:v>uncommon</x:v>
      </x:c>
      <x:c r="G1315" s="30" t="str">
        <x:v>standard</x:v>
      </x:c>
      <x:c r="H1315" s="30" t="str">
        <x:v>year-round</x:v>
      </x:c>
      <x:c r="I13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6">
      <x:c r="A1316" s="36" t="str">
        <x:v>east_africa</x:v>
      </x:c>
      <x:c r="B1316" s="30" t="str">
        <x:v>east-africa-broad-draft-1</x:v>
      </x:c>
      <x:c r="C1316" s="30" t="n">
        <x:v>4934</x:v>
      </x:c>
      <x:c r="D1316" s="32" t="str">
        <x:v>Black Heron</x:v>
      </x:c>
      <x:c r="E1316" s="32" t="str">
        <x:v>Egretta ardesiaca</x:v>
      </x:c>
      <x:c r="F1316" s="30" t="str">
        <x:v>uncommon</x:v>
      </x:c>
      <x:c r="G1316" s="30" t="str">
        <x:v>standard</x:v>
      </x:c>
      <x:c r="H1316" s="30" t="str">
        <x:v>year-round</x:v>
      </x:c>
      <x:c r="I13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7">
      <x:c r="A1317" s="36" t="str">
        <x:v>east_africa</x:v>
      </x:c>
      <x:c r="B1317" s="30" t="str">
        <x:v>east-africa-broad-draft-1</x:v>
      </x:c>
      <x:c r="C1317" s="30" t="n">
        <x:v>5323</x:v>
      </x:c>
      <x:c r="D1317" s="32" t="str">
        <x:v>Crowned Eagle</x:v>
      </x:c>
      <x:c r="E1317" s="32" t="str">
        <x:v>Stephanoaetus coronatus</x:v>
      </x:c>
      <x:c r="F1317" s="30" t="str">
        <x:v>uncommon</x:v>
      </x:c>
      <x:c r="G1317" s="30" t="str">
        <x:v>standard</x:v>
      </x:c>
      <x:c r="H1317" s="30" t="str">
        <x:v>year-round</x:v>
      </x:c>
      <x:c r="I13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8">
      <x:c r="A1318" s="36" t="str">
        <x:v>east_africa</x:v>
      </x:c>
      <x:c r="B1318" s="30" t="str">
        <x:v>east-africa-broad-draft-1</x:v>
      </x:c>
      <x:c r="C1318" s="30" t="n">
        <x:v>7689</x:v>
      </x:c>
      <x:c r="D1318" s="32" t="str">
        <x:v>Hunter's Cisticola</x:v>
      </x:c>
      <x:c r="E1318" s="32" t="str">
        <x:v>Cisticola hunteri</x:v>
      </x:c>
      <x:c r="F1318" s="30" t="str">
        <x:v>uncommon</x:v>
      </x:c>
      <x:c r="G1318" s="30" t="str">
        <x:v>standard</x:v>
      </x:c>
      <x:c r="H1318" s="30" t="str">
        <x:v>year-round</x:v>
      </x:c>
      <x:c r="I13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19">
      <x:c r="A1319" s="36" t="str">
        <x:v>east_africa</x:v>
      </x:c>
      <x:c r="B1319" s="30" t="str">
        <x:v>east-africa-broad-draft-1</x:v>
      </x:c>
      <x:c r="C1319" s="30" t="n">
        <x:v>4593</x:v>
      </x:c>
      <x:c r="D1319" s="32" t="str">
        <x:v>Temminck's Courser</x:v>
      </x:c>
      <x:c r="E1319" s="32" t="str">
        <x:v>Cursorius temminckii</x:v>
      </x:c>
      <x:c r="F1319" s="30" t="str">
        <x:v>rare</x:v>
      </x:c>
      <x:c r="G1319" s="30" t="str">
        <x:v>standard</x:v>
      </x:c>
      <x:c r="H1319" s="30" t="str">
        <x:v>year-round</x:v>
      </x:c>
      <x:c r="I13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0">
      <x:c r="A1320" s="36" t="str">
        <x:v>east_africa</x:v>
      </x:c>
      <x:c r="B1320" s="30" t="str">
        <x:v>east-africa-broad-draft-1</x:v>
      </x:c>
      <x:c r="C1320" s="30" t="n">
        <x:v>117055</x:v>
      </x:c>
      <x:c r="D1320" s="32" t="str">
        <x:v>Willow Warbler</x:v>
      </x:c>
      <x:c r="E1320" s="32" t="str">
        <x:v>Phylloscopus trochilus</x:v>
      </x:c>
      <x:c r="F1320" s="30" t="str">
        <x:v>rare</x:v>
      </x:c>
      <x:c r="G1320" s="30" t="str">
        <x:v>standard</x:v>
      </x:c>
      <x:c r="H1320" s="30" t="str">
        <x:v>year-round</x:v>
      </x:c>
      <x:c r="I13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1">
      <x:c r="A1321" s="36" t="str">
        <x:v>east_africa</x:v>
      </x:c>
      <x:c r="B1321" s="30" t="str">
        <x:v>east-africa-broad-draft-1</x:v>
      </x:c>
      <x:c r="C1321" s="30" t="n">
        <x:v>5178</x:v>
      </x:c>
      <x:c r="D1321" s="32" t="str">
        <x:v>Pallid Harrier</x:v>
      </x:c>
      <x:c r="E1321" s="32" t="str">
        <x:v>Circus macrourus</x:v>
      </x:c>
      <x:c r="F1321" s="30" t="str">
        <x:v>rare</x:v>
      </x:c>
      <x:c r="G1321" s="30" t="str">
        <x:v>standard</x:v>
      </x:c>
      <x:c r="H1321" s="30" t="str">
        <x:v>year-round</x:v>
      </x:c>
      <x:c r="I13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2">
      <x:c r="A1322" s="36" t="str">
        <x:v>east_africa</x:v>
      </x:c>
      <x:c r="B1322" s="30" t="str">
        <x:v>east-africa-broad-draft-1</x:v>
      </x:c>
      <x:c r="C1322" s="30" t="n">
        <x:v>4616</x:v>
      </x:c>
      <x:c r="D1322" s="32" t="str">
        <x:v>Crab-Plover</x:v>
      </x:c>
      <x:c r="E1322" s="32" t="str">
        <x:v>Dromas ardeola</x:v>
      </x:c>
      <x:c r="F1322" s="30" t="str">
        <x:v>rare</x:v>
      </x:c>
      <x:c r="G1322" s="30" t="str">
        <x:v>standard</x:v>
      </x:c>
      <x:c r="H1322" s="30" t="str">
        <x:v>year-round</x:v>
      </x:c>
      <x:c r="I13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3">
      <x:c r="A1323" s="36" t="str">
        <x:v>east_africa</x:v>
      </x:c>
      <x:c r="B1323" s="30" t="str">
        <x:v>east-africa-broad-draft-1</x:v>
      </x:c>
      <x:c r="C1323" s="30" t="n">
        <x:v>12038</x:v>
      </x:c>
      <x:c r="D1323" s="32" t="str">
        <x:v>Red-backed Shrike</x:v>
      </x:c>
      <x:c r="E1323" s="32" t="str">
        <x:v>Lanius collurio</x:v>
      </x:c>
      <x:c r="F1323" s="30" t="str">
        <x:v>rare</x:v>
      </x:c>
      <x:c r="G1323" s="30" t="str">
        <x:v>standard</x:v>
      </x:c>
      <x:c r="H1323" s="30" t="str">
        <x:v>year-round</x:v>
      </x:c>
      <x:c r="I13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4">
      <x:c r="A1324" s="36" t="str">
        <x:v>east_africa</x:v>
      </x:c>
      <x:c r="B1324" s="30" t="str">
        <x:v>east-africa-broad-draft-1</x:v>
      </x:c>
      <x:c r="C1324" s="30" t="n">
        <x:v>1286819</x:v>
      </x:c>
      <x:c r="D1324" s="32" t="str">
        <x:v>Green White-eye</x:v>
      </x:c>
      <x:c r="E1324" s="32" t="str">
        <x:v>Zosterops stuhlmanni</x:v>
      </x:c>
      <x:c r="F1324" s="30" t="str">
        <x:v>rare</x:v>
      </x:c>
      <x:c r="G1324" s="30" t="str">
        <x:v>standard</x:v>
      </x:c>
      <x:c r="H1324" s="30" t="str">
        <x:v>year-round</x:v>
      </x:c>
      <x:c r="I13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5">
      <x:c r="A1325" s="36" t="str">
        <x:v>east_africa</x:v>
      </x:c>
      <x:c r="B1325" s="30" t="str">
        <x:v>east-africa-broad-draft-1</x:v>
      </x:c>
      <x:c r="C1325" s="30" t="n">
        <x:v>8050</x:v>
      </x:c>
      <x:c r="D1325" s="32" t="str">
        <x:v>Thick-billed Raven</x:v>
      </x:c>
      <x:c r="E1325" s="32" t="str">
        <x:v>Corvus crassirostris</x:v>
      </x:c>
      <x:c r="F1325" s="30" t="str">
        <x:v>rare</x:v>
      </x:c>
      <x:c r="G1325" s="30" t="str">
        <x:v>standard</x:v>
      </x:c>
      <x:c r="H1325" s="30" t="str">
        <x:v>year-round</x:v>
      </x:c>
      <x:c r="I13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6">
      <x:c r="A1326" s="36" t="str">
        <x:v>east_africa</x:v>
      </x:c>
      <x:c r="B1326" s="30" t="str">
        <x:v>east-africa-broad-draft-1</x:v>
      </x:c>
      <x:c r="C1326" s="30" t="n">
        <x:v>144473</x:v>
      </x:c>
      <x:c r="D1326" s="32" t="str">
        <x:v>Hartlaub's Bustard</x:v>
      </x:c>
      <x:c r="E1326" s="32" t="str">
        <x:v>Lissotis hartlaubii</x:v>
      </x:c>
      <x:c r="F1326" s="30" t="str">
        <x:v>rare</x:v>
      </x:c>
      <x:c r="G1326" s="30" t="str">
        <x:v>standard</x:v>
      </x:c>
      <x:c r="H1326" s="30" t="str">
        <x:v>year-round</x:v>
      </x:c>
      <x:c r="I13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7">
      <x:c r="A1327" s="36" t="str">
        <x:v>east_africa</x:v>
      </x:c>
      <x:c r="B1327" s="30" t="str">
        <x:v>east-africa-broad-draft-1</x:v>
      </x:c>
      <x:c r="C1327" s="30" t="n">
        <x:v>117136</x:v>
      </x:c>
      <x:c r="D1327" s="32" t="str">
        <x:v>Red-fronted Barbet</x:v>
      </x:c>
      <x:c r="E1327" s="32" t="str">
        <x:v>Tricholaema diademata</x:v>
      </x:c>
      <x:c r="F1327" s="30" t="str">
        <x:v>rare</x:v>
      </x:c>
      <x:c r="G1327" s="30" t="str">
        <x:v>standard</x:v>
      </x:c>
      <x:c r="H1327" s="30" t="str">
        <x:v>year-round</x:v>
      </x:c>
      <x:c r="I13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8">
      <x:c r="A1328" s="36" t="str">
        <x:v>east_africa</x:v>
      </x:c>
      <x:c r="B1328" s="30" t="str">
        <x:v>east-africa-broad-draft-1</x:v>
      </x:c>
      <x:c r="C1328" s="30" t="n">
        <x:v>3328</x:v>
      </x:c>
      <x:c r="D1328" s="32" t="str">
        <x:v>Tambourine Dove</x:v>
      </x:c>
      <x:c r="E1328" s="32" t="str">
        <x:v>Turtur tympanistria</x:v>
      </x:c>
      <x:c r="F1328" s="30" t="str">
        <x:v>rare</x:v>
      </x:c>
      <x:c r="G1328" s="30" t="str">
        <x:v>standard</x:v>
      </x:c>
      <x:c r="H1328" s="30" t="str">
        <x:v>year-round</x:v>
      </x:c>
      <x:c r="I13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29">
      <x:c r="A1329" s="36" t="str">
        <x:v>east_africa</x:v>
      </x:c>
      <x:c r="B1329" s="30" t="str">
        <x:v>east-africa-broad-draft-1</x:v>
      </x:c>
      <x:c r="C1329" s="30" t="n">
        <x:v>145136</x:v>
      </x:c>
      <x:c r="D1329" s="32" t="str">
        <x:v>Olive Sunbird</x:v>
      </x:c>
      <x:c r="E1329" s="32" t="str">
        <x:v>Cyanomitra olivacea</x:v>
      </x:c>
      <x:c r="F1329" s="30" t="str">
        <x:v>rare</x:v>
      </x:c>
      <x:c r="G1329" s="30" t="str">
        <x:v>standard</x:v>
      </x:c>
      <x:c r="H1329" s="30" t="str">
        <x:v>year-round</x:v>
      </x:c>
      <x:c r="I13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0">
      <x:c r="A1330" s="36" t="str">
        <x:v>east_africa</x:v>
      </x:c>
      <x:c r="B1330" s="30" t="str">
        <x:v>east-africa-broad-draft-1</x:v>
      </x:c>
      <x:c r="C1330" s="30" t="n">
        <x:v>12053</x:v>
      </x:c>
      <x:c r="D1330" s="32" t="str">
        <x:v>Mackinnon's Shrike</x:v>
      </x:c>
      <x:c r="E1330" s="32" t="str">
        <x:v>Lanius mackinnoni</x:v>
      </x:c>
      <x:c r="F1330" s="30" t="str">
        <x:v>rare</x:v>
      </x:c>
      <x:c r="G1330" s="30" t="str">
        <x:v>standard</x:v>
      </x:c>
      <x:c r="H1330" s="30" t="str">
        <x:v>year-round</x:v>
      </x:c>
      <x:c r="I13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1">
      <x:c r="A1331" s="36" t="str">
        <x:v>east_africa</x:v>
      </x:c>
      <x:c r="B1331" s="30" t="str">
        <x:v>east-africa-broad-draft-1</x:v>
      </x:c>
      <x:c r="C1331" s="30" t="n">
        <x:v>8006</x:v>
      </x:c>
      <x:c r="D1331" s="32" t="str">
        <x:v>Cape Crow</x:v>
      </x:c>
      <x:c r="E1331" s="32" t="str">
        <x:v>Corvus capensis</x:v>
      </x:c>
      <x:c r="F1331" s="30" t="str">
        <x:v>rare</x:v>
      </x:c>
      <x:c r="G1331" s="30" t="str">
        <x:v>standard</x:v>
      </x:c>
      <x:c r="H1331" s="30" t="str">
        <x:v>year-round</x:v>
      </x:c>
      <x:c r="I13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2">
      <x:c r="A1332" s="36" t="str">
        <x:v>east_africa</x:v>
      </x:c>
      <x:c r="B1332" s="30" t="str">
        <x:v>east-africa-broad-draft-1</x:v>
      </x:c>
      <x:c r="C1332" s="30" t="n">
        <x:v>11953</x:v>
      </x:c>
      <x:c r="D1332" s="32" t="str">
        <x:v>Black Sawwing</x:v>
      </x:c>
      <x:c r="E1332" s="32" t="str">
        <x:v>Psalidoprocne pristoptera</x:v>
      </x:c>
      <x:c r="F1332" s="30" t="str">
        <x:v>rare</x:v>
      </x:c>
      <x:c r="G1332" s="30" t="str">
        <x:v>standard</x:v>
      </x:c>
      <x:c r="H1332" s="30" t="str">
        <x:v>year-round</x:v>
      </x:c>
      <x:c r="I13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3">
      <x:c r="A1333" s="36" t="str">
        <x:v>east_africa</x:v>
      </x:c>
      <x:c r="B1333" s="30" t="str">
        <x:v>east-africa-broad-draft-1</x:v>
      </x:c>
      <x:c r="C1333" s="30" t="n">
        <x:v>1653</x:v>
      </x:c>
      <x:c r="D1333" s="32" t="str">
        <x:v>Blue-headed Coucal</x:v>
      </x:c>
      <x:c r="E1333" s="32" t="str">
        <x:v>Centropus monachus</x:v>
      </x:c>
      <x:c r="F1333" s="30" t="str">
        <x:v>rare</x:v>
      </x:c>
      <x:c r="G1333" s="30" t="str">
        <x:v>standard</x:v>
      </x:c>
      <x:c r="H1333" s="30" t="str">
        <x:v>year-round</x:v>
      </x:c>
      <x:c r="I13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4">
      <x:c r="A1334" s="36" t="str">
        <x:v>east_africa</x:v>
      </x:c>
      <x:c r="B1334" s="30" t="str">
        <x:v>east-africa-broad-draft-1</x:v>
      </x:c>
      <x:c r="C1334" s="30" t="n">
        <x:v>4499</x:v>
      </x:c>
      <x:c r="D1334" s="32" t="str">
        <x:v>African Skimmer</x:v>
      </x:c>
      <x:c r="E1334" s="32" t="str">
        <x:v>Rynchops flavirostris</x:v>
      </x:c>
      <x:c r="F1334" s="30" t="str">
        <x:v>rare</x:v>
      </x:c>
      <x:c r="G1334" s="30" t="str">
        <x:v>standard</x:v>
      </x:c>
      <x:c r="H1334" s="30" t="str">
        <x:v>year-round</x:v>
      </x:c>
      <x:c r="I13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5">
      <x:c r="A1335" s="36" t="str">
        <x:v>east_africa</x:v>
      </x:c>
      <x:c r="B1335" s="30" t="str">
        <x:v>east-africa-broad-draft-1</x:v>
      </x:c>
      <x:c r="C1335" s="30" t="n">
        <x:v>145110</x:v>
      </x:c>
      <x:c r="D1335" s="32" t="str">
        <x:v>Golden-breasted Starling</x:v>
      </x:c>
      <x:c r="E1335" s="32" t="str">
        <x:v>Lamprotornis regius</x:v>
      </x:c>
      <x:c r="F1335" s="30" t="str">
        <x:v>rare</x:v>
      </x:c>
      <x:c r="G1335" s="30" t="str">
        <x:v>standard</x:v>
      </x:c>
      <x:c r="H1335" s="30" t="str">
        <x:v>year-round</x:v>
      </x:c>
      <x:c r="I13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6">
      <x:c r="A1336" s="36" t="str">
        <x:v>east_africa</x:v>
      </x:c>
      <x:c r="B1336" s="30" t="str">
        <x:v>east-africa-broad-draft-1</x:v>
      </x:c>
      <x:c r="C1336" s="30" t="n">
        <x:v>14103</x:v>
      </x:c>
      <x:c r="D1336" s="32" t="str">
        <x:v>Rosy-throated Longclaw</x:v>
      </x:c>
      <x:c r="E1336" s="32" t="str">
        <x:v>Macronyx ameliae</x:v>
      </x:c>
      <x:c r="F1336" s="30" t="str">
        <x:v>rare</x:v>
      </x:c>
      <x:c r="G1336" s="30" t="str">
        <x:v>standard</x:v>
      </x:c>
      <x:c r="H1336" s="30" t="str">
        <x:v>year-round</x:v>
      </x:c>
      <x:c r="I13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7">
      <x:c r="A1337" s="36" t="str">
        <x:v>east_africa</x:v>
      </x:c>
      <x:c r="B1337" s="30" t="str">
        <x:v>east-africa-broad-draft-1</x:v>
      </x:c>
      <x:c r="C1337" s="30" t="n">
        <x:v>73475</x:v>
      </x:c>
      <x:c r="D1337" s="32" t="str">
        <x:v>Black-crowned Tchagra</x:v>
      </x:c>
      <x:c r="E1337" s="32" t="str">
        <x:v>Tchagra senegalus</x:v>
      </x:c>
      <x:c r="F1337" s="30" t="str">
        <x:v>rare</x:v>
      </x:c>
      <x:c r="G1337" s="30" t="str">
        <x:v>standard</x:v>
      </x:c>
      <x:c r="H1337" s="30" t="str">
        <x:v>year-round</x:v>
      </x:c>
      <x:c r="I13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8">
      <x:c r="A1338" s="36" t="str">
        <x:v>east_africa</x:v>
      </x:c>
      <x:c r="B1338" s="30" t="str">
        <x:v>east-africa-broad-draft-1</x:v>
      </x:c>
      <x:c r="C1338" s="30" t="n">
        <x:v>13185</x:v>
      </x:c>
      <x:c r="D1338" s="32" t="str">
        <x:v>Southern Black-Flycatcher</x:v>
      </x:c>
      <x:c r="E1338" s="32" t="str">
        <x:v>Melaenornis pammelaina</x:v>
      </x:c>
      <x:c r="F1338" s="30" t="str">
        <x:v>rare</x:v>
      </x:c>
      <x:c r="G1338" s="30" t="str">
        <x:v>standard</x:v>
      </x:c>
      <x:c r="H1338" s="30" t="str">
        <x:v>year-round</x:v>
      </x:c>
      <x:c r="I13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39">
      <x:c r="A1339" s="36" t="str">
        <x:v>east_africa</x:v>
      </x:c>
      <x:c r="B1339" s="30" t="str">
        <x:v>east-africa-broad-draft-1</x:v>
      </x:c>
      <x:c r="C1339" s="30" t="n">
        <x:v>7784</x:v>
      </x:c>
      <x:c r="D1339" s="32" t="str">
        <x:v>Gray-capped Warbler</x:v>
      </x:c>
      <x:c r="E1339" s="32" t="str">
        <x:v>Eminia lepida</x:v>
      </x:c>
      <x:c r="F1339" s="30" t="str">
        <x:v>rare</x:v>
      </x:c>
      <x:c r="G1339" s="30" t="str">
        <x:v>standard</x:v>
      </x:c>
      <x:c r="H1339" s="30" t="str">
        <x:v>year-round</x:v>
      </x:c>
      <x:c r="I13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0">
      <x:c r="A1340" s="36" t="str">
        <x:v>east_africa</x:v>
      </x:c>
      <x:c r="B1340" s="30" t="str">
        <x:v>east-africa-broad-draft-1</x:v>
      </x:c>
      <x:c r="C1340" s="30" t="n">
        <x:v>15621</x:v>
      </x:c>
      <x:c r="D1340" s="32" t="str">
        <x:v>Buff-bellied Warbler</x:v>
      </x:c>
      <x:c r="E1340" s="32" t="str">
        <x:v>Phyllolais pulchella</x:v>
      </x:c>
      <x:c r="F1340" s="30" t="str">
        <x:v>rare</x:v>
      </x:c>
      <x:c r="G1340" s="30" t="str">
        <x:v>standard</x:v>
      </x:c>
      <x:c r="H1340" s="30" t="str">
        <x:v>year-round</x:v>
      </x:c>
      <x:c r="I13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1">
      <x:c r="A1341" s="36" t="str">
        <x:v>east_africa</x:v>
      </x:c>
      <x:c r="B1341" s="30" t="str">
        <x:v>east-africa-broad-draft-1</x:v>
      </x:c>
      <x:c r="C1341" s="30" t="n">
        <x:v>14708</x:v>
      </x:c>
      <x:c r="D1341" s="32" t="str">
        <x:v>Sombre Greenbul</x:v>
      </x:c>
      <x:c r="E1341" s="32" t="str">
        <x:v>Andropadus importunus</x:v>
      </x:c>
      <x:c r="F1341" s="30" t="str">
        <x:v>rare</x:v>
      </x:c>
      <x:c r="G1341" s="30" t="str">
        <x:v>standard</x:v>
      </x:c>
      <x:c r="H1341" s="30" t="str">
        <x:v>year-round</x:v>
      </x:c>
      <x:c r="I13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2">
      <x:c r="A1342" s="36" t="str">
        <x:v>east_africa</x:v>
      </x:c>
      <x:c r="B1342" s="30" t="str">
        <x:v>east-africa-broad-draft-1</x:v>
      </x:c>
      <x:c r="C1342" s="30" t="n">
        <x:v>13971</x:v>
      </x:c>
      <x:c r="D1342" s="32" t="str">
        <x:v>Black Bishop</x:v>
      </x:c>
      <x:c r="E1342" s="32" t="str">
        <x:v>Euplectes gierowii</x:v>
      </x:c>
      <x:c r="F1342" s="30" t="str">
        <x:v>rare</x:v>
      </x:c>
      <x:c r="G1342" s="30" t="str">
        <x:v>standard</x:v>
      </x:c>
      <x:c r="H1342" s="30" t="str">
        <x:v>year-round</x:v>
      </x:c>
      <x:c r="I13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3">
      <x:c r="A1343" s="36" t="str">
        <x:v>east_africa</x:v>
      </x:c>
      <x:c r="B1343" s="30" t="str">
        <x:v>east-africa-broad-draft-1</x:v>
      </x:c>
      <x:c r="C1343" s="30" t="n">
        <x:v>13806</x:v>
      </x:c>
      <x:c r="D1343" s="32" t="str">
        <x:v>Golden Palm Weaver</x:v>
      </x:c>
      <x:c r="E1343" s="32" t="str">
        <x:v>Ploceus bojeri</x:v>
      </x:c>
      <x:c r="F1343" s="30" t="str">
        <x:v>rare</x:v>
      </x:c>
      <x:c r="G1343" s="30" t="str">
        <x:v>standard</x:v>
      </x:c>
      <x:c r="H1343" s="30" t="str">
        <x:v>year-round</x:v>
      </x:c>
      <x:c r="I13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4">
      <x:c r="A1344" s="36" t="str">
        <x:v>east_africa</x:v>
      </x:c>
      <x:c r="B1344" s="30" t="str">
        <x:v>east-africa-broad-draft-1</x:v>
      </x:c>
      <x:c r="C1344" s="30" t="n">
        <x:v>3326</x:v>
      </x:c>
      <x:c r="D1344" s="32" t="str">
        <x:v>Blue-spotted Wood-Dove</x:v>
      </x:c>
      <x:c r="E1344" s="32" t="str">
        <x:v>Turtur afer</x:v>
      </x:c>
      <x:c r="F1344" s="30" t="str">
        <x:v>rare</x:v>
      </x:c>
      <x:c r="G1344" s="30" t="str">
        <x:v>standard</x:v>
      </x:c>
      <x:c r="H1344" s="30" t="str">
        <x:v>year-round</x:v>
      </x:c>
      <x:c r="I13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5">
      <x:c r="A1345" s="36" t="str">
        <x:v>east_africa</x:v>
      </x:c>
      <x:c r="B1345" s="30" t="str">
        <x:v>east-africa-broad-draft-1</x:v>
      </x:c>
      <x:c r="C1345" s="30" t="n">
        <x:v>5244</x:v>
      </x:c>
      <x:c r="D1345" s="32" t="str">
        <x:v>Western Banded Snake-Eagle</x:v>
      </x:c>
      <x:c r="E1345" s="32" t="str">
        <x:v>Circaetus cinerascens</x:v>
      </x:c>
      <x:c r="F1345" s="30" t="str">
        <x:v>rare</x:v>
      </x:c>
      <x:c r="G1345" s="30" t="str">
        <x:v>standard</x:v>
      </x:c>
      <x:c r="H1345" s="30" t="str">
        <x:v>year-round</x:v>
      </x:c>
      <x:c r="I13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6">
      <x:c r="A1346" s="36" t="str">
        <x:v>east_africa</x:v>
      </x:c>
      <x:c r="B1346" s="30" t="str">
        <x:v>east-africa-broad-draft-1</x:v>
      </x:c>
      <x:c r="C1346" s="30" t="n">
        <x:v>116882</x:v>
      </x:c>
      <x:c r="D1346" s="32" t="str">
        <x:v>African Blue Flycatcher</x:v>
      </x:c>
      <x:c r="E1346" s="32" t="str">
        <x:v>Elminia longicauda</x:v>
      </x:c>
      <x:c r="F1346" s="30" t="str">
        <x:v>rare</x:v>
      </x:c>
      <x:c r="G1346" s="30" t="str">
        <x:v>standard</x:v>
      </x:c>
      <x:c r="H1346" s="30" t="str">
        <x:v>year-round</x:v>
      </x:c>
      <x:c r="I13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7">
      <x:c r="A1347" s="36" t="str">
        <x:v>east_africa</x:v>
      </x:c>
      <x:c r="B1347" s="30" t="str">
        <x:v>east-africa-broad-draft-1</x:v>
      </x:c>
      <x:c r="C1347" s="30" t="n">
        <x:v>4613</x:v>
      </x:c>
      <x:c r="D1347" s="32" t="str">
        <x:v>Three-banded Courser</x:v>
      </x:c>
      <x:c r="E1347" s="32" t="str">
        <x:v>Rhinoptilus cinctus</x:v>
      </x:c>
      <x:c r="F1347" s="30" t="str">
        <x:v>rare</x:v>
      </x:c>
      <x:c r="G1347" s="30" t="str">
        <x:v>standard</x:v>
      </x:c>
      <x:c r="H1347" s="30" t="str">
        <x:v>year-round</x:v>
      </x:c>
      <x:c r="I13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8">
      <x:c r="A1348" s="36" t="str">
        <x:v>east_africa</x:v>
      </x:c>
      <x:c r="B1348" s="30" t="str">
        <x:v>east-africa-broad-draft-1</x:v>
      </x:c>
      <x:c r="C1348" s="30" t="n">
        <x:v>8580</x:v>
      </x:c>
      <x:c r="D1348" s="32" t="str">
        <x:v>Brubru</x:v>
      </x:c>
      <x:c r="E1348" s="32" t="str">
        <x:v>Nilaus afer</x:v>
      </x:c>
      <x:c r="F1348" s="30" t="str">
        <x:v>rare</x:v>
      </x:c>
      <x:c r="G1348" s="30" t="str">
        <x:v>standard</x:v>
      </x:c>
      <x:c r="H1348" s="30" t="str">
        <x:v>year-round</x:v>
      </x:c>
      <x:c r="I13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49">
      <x:c r="A1349" s="36" t="str">
        <x:v>east_africa</x:v>
      </x:c>
      <x:c r="B1349" s="30" t="str">
        <x:v>east-africa-broad-draft-1</x:v>
      </x:c>
      <x:c r="C1349" s="30" t="n">
        <x:v>2226</x:v>
      </x:c>
      <x:c r="D1349" s="32" t="str">
        <x:v>Olive Bee-eater</x:v>
      </x:c>
      <x:c r="E1349" s="32" t="str">
        <x:v>Merops superciliosus</x:v>
      </x:c>
      <x:c r="F1349" s="30" t="str">
        <x:v>rare</x:v>
      </x:c>
      <x:c r="G1349" s="30" t="str">
        <x:v>standard</x:v>
      </x:c>
      <x:c r="H1349" s="30" t="str">
        <x:v>year-round</x:v>
      </x:c>
      <x:c r="I13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0">
      <x:c r="A1350" s="36" t="str">
        <x:v>east_africa</x:v>
      </x:c>
      <x:c r="B1350" s="30" t="str">
        <x:v>east-africa-broad-draft-1</x:v>
      </x:c>
      <x:c r="C1350" s="30" t="n">
        <x:v>13773</x:v>
      </x:c>
      <x:c r="D1350" s="32" t="str">
        <x:v>Black-crowned Waxbill</x:v>
      </x:c>
      <x:c r="E1350" s="32" t="str">
        <x:v>Estrilda nonnula</x:v>
      </x:c>
      <x:c r="F1350" s="30" t="str">
        <x:v>rare</x:v>
      </x:c>
      <x:c r="G1350" s="30" t="str">
        <x:v>standard</x:v>
      </x:c>
      <x:c r="H1350" s="30" t="str">
        <x:v>year-round</x:v>
      </x:c>
      <x:c r="I13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1">
      <x:c r="A1351" s="36" t="str">
        <x:v>east_africa</x:v>
      </x:c>
      <x:c r="B1351" s="30" t="str">
        <x:v>east-africa-broad-draft-1</x:v>
      </x:c>
      <x:c r="C1351" s="30" t="n">
        <x:v>145153</x:v>
      </x:c>
      <x:c r="D1351" s="32" t="str">
        <x:v>Golden-winged Sunbird</x:v>
      </x:c>
      <x:c r="E1351" s="32" t="str">
        <x:v>Drepanorhynchus reichenowi</x:v>
      </x:c>
      <x:c r="F1351" s="30" t="str">
        <x:v>rare</x:v>
      </x:c>
      <x:c r="G1351" s="30" t="str">
        <x:v>standard</x:v>
      </x:c>
      <x:c r="H1351" s="30" t="str">
        <x:v>year-round</x:v>
      </x:c>
      <x:c r="I13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2">
      <x:c r="A1352" s="36" t="str">
        <x:v>east_africa</x:v>
      </x:c>
      <x:c r="B1352" s="30" t="str">
        <x:v>east-africa-broad-draft-1</x:v>
      </x:c>
      <x:c r="C1352" s="30" t="n">
        <x:v>144662</x:v>
      </x:c>
      <x:c r="D1352" s="32" t="str">
        <x:v>Tanzanian Red-billed Hornbill</x:v>
      </x:c>
      <x:c r="E1352" s="32" t="str">
        <x:v>Tockus ruahae</x:v>
      </x:c>
      <x:c r="F1352" s="30" t="str">
        <x:v>rare</x:v>
      </x:c>
      <x:c r="G1352" s="30" t="str">
        <x:v>standard</x:v>
      </x:c>
      <x:c r="H1352" s="30" t="str">
        <x:v>year-round</x:v>
      </x:c>
      <x:c r="I13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3">
      <x:c r="A1353" s="36" t="str">
        <x:v>east_africa</x:v>
      </x:c>
      <x:c r="B1353" s="30" t="str">
        <x:v>east-africa-broad-draft-1</x:v>
      </x:c>
      <x:c r="C1353" s="30" t="n">
        <x:v>558604</x:v>
      </x:c>
      <x:c r="D1353" s="32" t="str">
        <x:v>Southern Citril</x:v>
      </x:c>
      <x:c r="E1353" s="32" t="str">
        <x:v>Crithagra hyposticta</x:v>
      </x:c>
      <x:c r="F1353" s="30" t="str">
        <x:v>rare</x:v>
      </x:c>
      <x:c r="G1353" s="30" t="str">
        <x:v>standard</x:v>
      </x:c>
      <x:c r="H1353" s="30" t="str">
        <x:v>year-round</x:v>
      </x:c>
      <x:c r="I13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4">
      <x:c r="A1354" s="36" t="str">
        <x:v>east_africa</x:v>
      </x:c>
      <x:c r="B1354" s="30" t="str">
        <x:v>east-africa-broad-draft-1</x:v>
      </x:c>
      <x:c r="C1354" s="30" t="n">
        <x:v>522887</x:v>
      </x:c>
      <x:c r="D1354" s="32" t="str">
        <x:v>Pale Flycatcher</x:v>
      </x:c>
      <x:c r="E1354" s="32" t="str">
        <x:v>Agricola pallidus</x:v>
      </x:c>
      <x:c r="F1354" s="30" t="str">
        <x:v>rare</x:v>
      </x:c>
      <x:c r="G1354" s="30" t="str">
        <x:v>standard</x:v>
      </x:c>
      <x:c r="H1354" s="30" t="str">
        <x:v>year-round</x:v>
      </x:c>
      <x:c r="I13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5">
      <x:c r="A1355" s="36" t="str">
        <x:v>east_africa</x:v>
      </x:c>
      <x:c r="B1355" s="30" t="str">
        <x:v>east-africa-broad-draft-1</x:v>
      </x:c>
      <x:c r="C1355" s="30" t="n">
        <x:v>1440669</x:v>
      </x:c>
      <x:c r="D1355" s="32" t="str">
        <x:v>Red-cowled Widowbird</x:v>
      </x:c>
      <x:c r="E1355" s="32" t="str">
        <x:v>Euplectes laticauda</x:v>
      </x:c>
      <x:c r="F1355" s="30" t="str">
        <x:v>rare</x:v>
      </x:c>
      <x:c r="G1355" s="30" t="str">
        <x:v>standard</x:v>
      </x:c>
      <x:c r="H1355" s="30" t="str">
        <x:v>year-round</x:v>
      </x:c>
      <x:c r="I13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6">
      <x:c r="A1356" s="36" t="str">
        <x:v>east_africa</x:v>
      </x:c>
      <x:c r="B1356" s="30" t="str">
        <x:v>east-africa-broad-draft-1</x:v>
      </x:c>
      <x:c r="C1356" s="30" t="n">
        <x:v>20836</x:v>
      </x:c>
      <x:c r="D1356" s="32" t="str">
        <x:v>Narina Trogon</x:v>
      </x:c>
      <x:c r="E1356" s="32" t="str">
        <x:v>Apaloderma narina</x:v>
      </x:c>
      <x:c r="F1356" s="30" t="str">
        <x:v>rare</x:v>
      </x:c>
      <x:c r="G1356" s="30" t="str">
        <x:v>standard</x:v>
      </x:c>
      <x:c r="H1356" s="30" t="str">
        <x:v>year-round</x:v>
      </x:c>
      <x:c r="I13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7">
      <x:c r="A1357" s="36" t="str">
        <x:v>east_africa</x:v>
      </x:c>
      <x:c r="B1357" s="30" t="str">
        <x:v>east-africa-broad-draft-1</x:v>
      </x:c>
      <x:c r="C1357" s="30" t="n">
        <x:v>19074</x:v>
      </x:c>
      <x:c r="D1357" s="32" t="str">
        <x:v>Black-winged Lovebird</x:v>
      </x:c>
      <x:c r="E1357" s="32" t="str">
        <x:v>Agapornis taranta</x:v>
      </x:c>
      <x:c r="F1357" s="30" t="str">
        <x:v>rare</x:v>
      </x:c>
      <x:c r="G1357" s="30" t="str">
        <x:v>standard</x:v>
      </x:c>
      <x:c r="H1357" s="30" t="str">
        <x:v>year-round</x:v>
      </x:c>
      <x:c r="I13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8">
      <x:c r="A1358" s="36" t="str">
        <x:v>east_africa</x:v>
      </x:c>
      <x:c r="B1358" s="30" t="str">
        <x:v>east-africa-broad-draft-1</x:v>
      </x:c>
      <x:c r="C1358" s="30" t="n">
        <x:v>13272</x:v>
      </x:c>
      <x:c r="D1358" s="32" t="str">
        <x:v>White-starred Robin</x:v>
      </x:c>
      <x:c r="E1358" s="32" t="str">
        <x:v>Pogonocichla stellata</x:v>
      </x:c>
      <x:c r="F1358" s="30" t="str">
        <x:v>rare</x:v>
      </x:c>
      <x:c r="G1358" s="30" t="str">
        <x:v>standard</x:v>
      </x:c>
      <x:c r="H1358" s="30" t="str">
        <x:v>year-round</x:v>
      </x:c>
      <x:c r="I13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59">
      <x:c r="A1359" s="36" t="str">
        <x:v>east_africa</x:v>
      </x:c>
      <x:c r="B1359" s="30" t="str">
        <x:v>east-africa-broad-draft-1</x:v>
      </x:c>
      <x:c r="C1359" s="30" t="n">
        <x:v>474333</x:v>
      </x:c>
      <x:c r="D1359" s="32" t="str">
        <x:v>African Swamphen</x:v>
      </x:c>
      <x:c r="E1359" s="32" t="str">
        <x:v>Porphyrio madagascariensis</x:v>
      </x:c>
      <x:c r="F1359" s="30" t="str">
        <x:v>rare</x:v>
      </x:c>
      <x:c r="G1359" s="30" t="str">
        <x:v>standard</x:v>
      </x:c>
      <x:c r="H1359" s="30" t="str">
        <x:v>year-round</x:v>
      </x:c>
      <x:c r="I13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0">
      <x:c r="A1360" s="36" t="str">
        <x:v>east_africa</x:v>
      </x:c>
      <x:c r="B1360" s="30" t="str">
        <x:v>east-africa-broad-draft-1</x:v>
      </x:c>
      <x:c r="C1360" s="30" t="n">
        <x:v>144765</x:v>
      </x:c>
      <x:c r="D1360" s="32" t="str">
        <x:v>Fawn-colored Lark</x:v>
      </x:c>
      <x:c r="E1360" s="32" t="str">
        <x:v>Calendulauda africanoides</x:v>
      </x:c>
      <x:c r="F1360" s="30" t="str">
        <x:v>rare</x:v>
      </x:c>
      <x:c r="G1360" s="30" t="str">
        <x:v>standard</x:v>
      </x:c>
      <x:c r="H1360" s="30" t="str">
        <x:v>year-round</x:v>
      </x:c>
      <x:c r="I13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1">
      <x:c r="A1361" s="36" t="str">
        <x:v>east_africa</x:v>
      </x:c>
      <x:c r="B1361" s="30" t="str">
        <x:v>east-africa-broad-draft-1</x:v>
      </x:c>
      <x:c r="C1361" s="30" t="n">
        <x:v>4892</x:v>
      </x:c>
      <x:c r="D1361" s="32" t="str">
        <x:v>Black-bellied Plover</x:v>
      </x:c>
      <x:c r="E1361" s="32" t="str">
        <x:v>Pluvialis squatarola</x:v>
      </x:c>
      <x:c r="F1361" s="30" t="str">
        <x:v>rare</x:v>
      </x:c>
      <x:c r="G1361" s="30" t="str">
        <x:v>standard</x:v>
      </x:c>
      <x:c r="H1361" s="30" t="str">
        <x:v>year-round</x:v>
      </x:c>
      <x:c r="I13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2">
      <x:c r="A1362" s="36" t="str">
        <x:v>east_africa</x:v>
      </x:c>
      <x:c r="B1362" s="30" t="str">
        <x:v>east-africa-broad-draft-1</x:v>
      </x:c>
      <x:c r="C1362" s="30" t="n">
        <x:v>116946</x:v>
      </x:c>
      <x:c r="D1362" s="32" t="str">
        <x:v>White-headed Barbet</x:v>
      </x:c>
      <x:c r="E1362" s="32" t="str">
        <x:v>Lybius leucocephalus</x:v>
      </x:c>
      <x:c r="F1362" s="30" t="str">
        <x:v>rare</x:v>
      </x:c>
      <x:c r="G1362" s="30" t="str">
        <x:v>standard</x:v>
      </x:c>
      <x:c r="H1362" s="30" t="str">
        <x:v>year-round</x:v>
      </x:c>
      <x:c r="I13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3">
      <x:c r="A1363" s="36" t="str">
        <x:v>east_africa</x:v>
      </x:c>
      <x:c r="B1363" s="30" t="str">
        <x:v>east-africa-broad-draft-1</x:v>
      </x:c>
      <x:c r="C1363" s="30" t="n">
        <x:v>792926</x:v>
      </x:c>
      <x:c r="D1363" s="32" t="str">
        <x:v>Bearded Woodpecker</x:v>
      </x:c>
      <x:c r="E1363" s="32" t="str">
        <x:v>Chloropicus namaquus</x:v>
      </x:c>
      <x:c r="F1363" s="30" t="str">
        <x:v>rare</x:v>
      </x:c>
      <x:c r="G1363" s="30" t="str">
        <x:v>standard</x:v>
      </x:c>
      <x:c r="H1363" s="30" t="str">
        <x:v>year-round</x:v>
      </x:c>
      <x:c r="I13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4">
      <x:c r="A1364" s="36" t="str">
        <x:v>east_africa</x:v>
      </x:c>
      <x:c r="B1364" s="30" t="str">
        <x:v>east-africa-broad-draft-1</x:v>
      </x:c>
      <x:c r="C1364" s="30" t="n">
        <x:v>13785</x:v>
      </x:c>
      <x:c r="D1364" s="32" t="str">
        <x:v>Rüppell's Weaver</x:v>
      </x:c>
      <x:c r="E1364" s="32" t="str">
        <x:v>Ploceus galbula</x:v>
      </x:c>
      <x:c r="F1364" s="30" t="str">
        <x:v>rare</x:v>
      </x:c>
      <x:c r="G1364" s="30" t="str">
        <x:v>standard</x:v>
      </x:c>
      <x:c r="H1364" s="30" t="str">
        <x:v>year-round</x:v>
      </x:c>
      <x:c r="I13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5">
      <x:c r="A1365" s="36" t="str">
        <x:v>east_africa</x:v>
      </x:c>
      <x:c r="B1365" s="30" t="str">
        <x:v>east-africa-broad-draft-1</x:v>
      </x:c>
      <x:c r="C1365" s="30" t="n">
        <x:v>980043</x:v>
      </x:c>
      <x:c r="D1365" s="32" t="str">
        <x:v>Pale White-eye</x:v>
      </x:c>
      <x:c r="E1365" s="32" t="str">
        <x:v>Zosterops flavilateralis</x:v>
      </x:c>
      <x:c r="F1365" s="30" t="str">
        <x:v>rare</x:v>
      </x:c>
      <x:c r="G1365" s="30" t="str">
        <x:v>standard</x:v>
      </x:c>
      <x:c r="H1365" s="30" t="str">
        <x:v>year-round</x:v>
      </x:c>
      <x:c r="I13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6">
      <x:c r="A1366" s="36" t="str">
        <x:v>east_africa</x:v>
      </x:c>
      <x:c r="B1366" s="30" t="str">
        <x:v>east-africa-broad-draft-1</x:v>
      </x:c>
      <x:c r="C1366" s="30" t="n">
        <x:v>13767</x:v>
      </x:c>
      <x:c r="D1366" s="32" t="str">
        <x:v>Crimson-rumped Waxbill</x:v>
      </x:c>
      <x:c r="E1366" s="32" t="str">
        <x:v>Estrilda rhodopyga</x:v>
      </x:c>
      <x:c r="F1366" s="30" t="str">
        <x:v>rare</x:v>
      </x:c>
      <x:c r="G1366" s="30" t="str">
        <x:v>standard</x:v>
      </x:c>
      <x:c r="H1366" s="30" t="str">
        <x:v>year-round</x:v>
      </x:c>
      <x:c r="I13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7">
      <x:c r="A1367" s="36" t="str">
        <x:v>east_africa</x:v>
      </x:c>
      <x:c r="B1367" s="30" t="str">
        <x:v>east-africa-broad-draft-1</x:v>
      </x:c>
      <x:c r="C1367" s="30" t="n">
        <x:v>4684</x:v>
      </x:c>
      <x:c r="D1367" s="32" t="str">
        <x:v>Lanner Falcon</x:v>
      </x:c>
      <x:c r="E1367" s="32" t="str">
        <x:v>Falco biarmicus</x:v>
      </x:c>
      <x:c r="F1367" s="30" t="str">
        <x:v>rare</x:v>
      </x:c>
      <x:c r="G1367" s="30" t="str">
        <x:v>standard</x:v>
      </x:c>
      <x:c r="H1367" s="30" t="str">
        <x:v>year-round</x:v>
      </x:c>
      <x:c r="I13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8">
      <x:c r="A1368" s="36" t="str">
        <x:v>east_africa</x:v>
      </x:c>
      <x:c r="B1368" s="30" t="str">
        <x:v>east-africa-broad-draft-1</x:v>
      </x:c>
      <x:c r="C1368" s="30" t="n">
        <x:v>1583576</x:v>
      </x:c>
      <x:c r="D1368" s="32" t="str">
        <x:v>Northern Red-fronted Tinkerbird</x:v>
      </x:c>
      <x:c r="E1368" s="32" t="str">
        <x:v>Pogoniulus uropygialis</x:v>
      </x:c>
      <x:c r="F1368" s="30" t="str">
        <x:v>rare</x:v>
      </x:c>
      <x:c r="G1368" s="30" t="str">
        <x:v>standard</x:v>
      </x:c>
      <x:c r="H1368" s="30" t="str">
        <x:v>year-round</x:v>
      </x:c>
      <x:c r="I13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69">
      <x:c r="A1369" s="36" t="str">
        <x:v>east_africa</x:v>
      </x:c>
      <x:c r="B1369" s="30" t="str">
        <x:v>east-africa-broad-draft-1</x:v>
      </x:c>
      <x:c r="C1369" s="30" t="n">
        <x:v>7676</x:v>
      </x:c>
      <x:c r="D1369" s="32" t="str">
        <x:v>Croaking Cisticola</x:v>
      </x:c>
      <x:c r="E1369" s="32" t="str">
        <x:v>Cisticola natalensis</x:v>
      </x:c>
      <x:c r="F1369" s="30" t="str">
        <x:v>very_rare</x:v>
      </x:c>
      <x:c r="G1369" s="30" t="str">
        <x:v>standard</x:v>
      </x:c>
      <x:c r="H1369" s="30" t="str">
        <x:v>year-round</x:v>
      </x:c>
      <x:c r="I13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0">
      <x:c r="A1370" s="36" t="str">
        <x:v>east_africa</x:v>
      </x:c>
      <x:c r="B1370" s="30" t="str">
        <x:v>east-africa-broad-draft-1</x:v>
      </x:c>
      <x:c r="C1370" s="30" t="n">
        <x:v>13963</x:v>
      </x:c>
      <x:c r="D1370" s="32" t="str">
        <x:v>Black-winged Bishop</x:v>
      </x:c>
      <x:c r="E1370" s="32" t="str">
        <x:v>Euplectes hordeaceus</x:v>
      </x:c>
      <x:c r="F1370" s="30" t="str">
        <x:v>very_rare</x:v>
      </x:c>
      <x:c r="G1370" s="30" t="str">
        <x:v>standard</x:v>
      </x:c>
      <x:c r="H1370" s="30" t="str">
        <x:v>year-round</x:v>
      </x:c>
      <x:c r="I13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1">
      <x:c r="A1371" s="36" t="str">
        <x:v>east_africa</x:v>
      </x:c>
      <x:c r="B1371" s="30" t="str">
        <x:v>east-africa-broad-draft-1</x:v>
      </x:c>
      <x:c r="C1371" s="30" t="n">
        <x:v>4876</x:v>
      </x:c>
      <x:c r="D1371" s="32" t="str">
        <x:v>Black-headed Lapwing</x:v>
      </x:c>
      <x:c r="E1371" s="32" t="str">
        <x:v>Vanellus tectus</x:v>
      </x:c>
      <x:c r="F1371" s="30" t="str">
        <x:v>rare</x:v>
      </x:c>
      <x:c r="G1371" s="30" t="str">
        <x:v>standard</x:v>
      </x:c>
      <x:c r="H1371" s="30" t="str">
        <x:v>year-round</x:v>
      </x:c>
      <x:c r="I13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2">
      <x:c r="A1372" s="36" t="str">
        <x:v>east_africa</x:v>
      </x:c>
      <x:c r="B1372" s="30" t="str">
        <x:v>east-africa-broad-draft-1</x:v>
      </x:c>
      <x:c r="C1372" s="30" t="n">
        <x:v>7661</x:v>
      </x:c>
      <x:c r="D1372" s="32" t="str">
        <x:v>Chubb's Cisticola</x:v>
      </x:c>
      <x:c r="E1372" s="32" t="str">
        <x:v>Cisticola chubbi</x:v>
      </x:c>
      <x:c r="F1372" s="30" t="str">
        <x:v>very_rare</x:v>
      </x:c>
      <x:c r="G1372" s="30" t="str">
        <x:v>standard</x:v>
      </x:c>
      <x:c r="H1372" s="30" t="str">
        <x:v>year-round</x:v>
      </x:c>
      <x:c r="I13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3">
      <x:c r="A1373" s="36" t="str">
        <x:v>east_africa</x:v>
      </x:c>
      <x:c r="B1373" s="30" t="str">
        <x:v>east-africa-broad-draft-1</x:v>
      </x:c>
      <x:c r="C1373" s="30" t="n">
        <x:v>59845</x:v>
      </x:c>
      <x:c r="D1373" s="32" t="str">
        <x:v>Lesser Kestrel</x:v>
      </x:c>
      <x:c r="E1373" s="32" t="str">
        <x:v>Falco naumanni</x:v>
      </x:c>
      <x:c r="F1373" s="30" t="str">
        <x:v>very_rare</x:v>
      </x:c>
      <x:c r="G1373" s="30" t="str">
        <x:v>standard</x:v>
      </x:c>
      <x:c r="H1373" s="30" t="str">
        <x:v>year-round</x:v>
      </x:c>
      <x:c r="I13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4">
      <x:c r="A1374" s="36" t="str">
        <x:v>east_africa</x:v>
      </x:c>
      <x:c r="B1374" s="30" t="str">
        <x:v>east-africa-broad-draft-1</x:v>
      </x:c>
      <x:c r="C1374" s="30" t="n">
        <x:v>144520</x:v>
      </x:c>
      <x:c r="D1374" s="32" t="str">
        <x:v>Sooty Gull</x:v>
      </x:c>
      <x:c r="E1374" s="32" t="str">
        <x:v>Ichthyaetus hemprichii</x:v>
      </x:c>
      <x:c r="F1374" s="30" t="str">
        <x:v>very_rare</x:v>
      </x:c>
      <x:c r="G1374" s="30" t="str">
        <x:v>standard</x:v>
      </x:c>
      <x:c r="H1374" s="30" t="str">
        <x:v>year-round</x:v>
      </x:c>
      <x:c r="I13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5">
      <x:c r="A1375" s="36" t="str">
        <x:v>east_africa</x:v>
      </x:c>
      <x:c r="B1375" s="30" t="str">
        <x:v>east-africa-broad-draft-1</x:v>
      </x:c>
      <x:c r="C1375" s="30" t="n">
        <x:v>14101</x:v>
      </x:c>
      <x:c r="D1375" s="32" t="str">
        <x:v>Pangani Longclaw</x:v>
      </x:c>
      <x:c r="E1375" s="32" t="str">
        <x:v>Macronyx aurantiigula</x:v>
      </x:c>
      <x:c r="F1375" s="30" t="str">
        <x:v>very_rare</x:v>
      </x:c>
      <x:c r="G1375" s="30" t="str">
        <x:v>standard</x:v>
      </x:c>
      <x:c r="H1375" s="30" t="str">
        <x:v>year-round</x:v>
      </x:c>
      <x:c r="I13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6">
      <x:c r="A1376" s="36" t="str">
        <x:v>east_africa</x:v>
      </x:c>
      <x:c r="B1376" s="30" t="str">
        <x:v>east-africa-broad-draft-1</x:v>
      </x:c>
      <x:c r="C1376" s="30" t="n">
        <x:v>117070</x:v>
      </x:c>
      <x:c r="D1376" s="32" t="str">
        <x:v>White-crested Helmetshrike</x:v>
      </x:c>
      <x:c r="E1376" s="32" t="str">
        <x:v>Prionops plumatus</x:v>
      </x:c>
      <x:c r="F1376" s="30" t="str">
        <x:v>very_rare</x:v>
      </x:c>
      <x:c r="G1376" s="30" t="str">
        <x:v>standard</x:v>
      </x:c>
      <x:c r="H1376" s="30" t="str">
        <x:v>year-round</x:v>
      </x:c>
      <x:c r="I13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7">
      <x:c r="A1377" s="36" t="str">
        <x:v>east_africa</x:v>
      </x:c>
      <x:c r="B1377" s="30" t="str">
        <x:v>east-africa-broad-draft-1</x:v>
      </x:c>
      <x:c r="C1377" s="30" t="n">
        <x:v>517005</x:v>
      </x:c>
      <x:c r="D1377" s="32" t="str">
        <x:v>Fischer's Starling</x:v>
      </x:c>
      <x:c r="E1377" s="32" t="str">
        <x:v>Lamprotornis fischeri</x:v>
      </x:c>
      <x:c r="F1377" s="30" t="str">
        <x:v>very_rare</x:v>
      </x:c>
      <x:c r="G1377" s="30" t="str">
        <x:v>standard</x:v>
      </x:c>
      <x:c r="H1377" s="30" t="str">
        <x:v>year-round</x:v>
      </x:c>
      <x:c r="I13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8">
      <x:c r="A1378" s="36" t="str">
        <x:v>east_africa</x:v>
      </x:c>
      <x:c r="B1378" s="30" t="str">
        <x:v>east-africa-broad-draft-1</x:v>
      </x:c>
      <x:c r="C1378" s="30" t="n">
        <x:v>145019</x:v>
      </x:c>
      <x:c r="D1378" s="32" t="str">
        <x:v>Abyssinian Slaty-Flycatcher</x:v>
      </x:c>
      <x:c r="E1378" s="32" t="str">
        <x:v>Melaenornis chocolatinus</x:v>
      </x:c>
      <x:c r="F1378" s="30" t="str">
        <x:v>very_rare</x:v>
      </x:c>
      <x:c r="G1378" s="30" t="str">
        <x:v>standard</x:v>
      </x:c>
      <x:c r="H1378" s="30" t="str">
        <x:v>year-round</x:v>
      </x:c>
      <x:c r="I13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79">
      <x:c r="A1379" s="36" t="str">
        <x:v>east_africa</x:v>
      </x:c>
      <x:c r="B1379" s="30" t="str">
        <x:v>east-africa-broad-draft-1</x:v>
      </x:c>
      <x:c r="C1379" s="30" t="n">
        <x:v>3863</x:v>
      </x:c>
      <x:c r="D1379" s="32" t="str">
        <x:v>Curlew Sandpiper</x:v>
      </x:c>
      <x:c r="E1379" s="32" t="str">
        <x:v>Calidris ferruginea</x:v>
      </x:c>
      <x:c r="F1379" s="30" t="str">
        <x:v>very_rare</x:v>
      </x:c>
      <x:c r="G1379" s="30" t="str">
        <x:v>standard</x:v>
      </x:c>
      <x:c r="H1379" s="30" t="str">
        <x:v>year-round</x:v>
      </x:c>
      <x:c r="I13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0">
      <x:c r="A1380" s="36" t="str">
        <x:v>east_africa</x:v>
      </x:c>
      <x:c r="B1380" s="30" t="str">
        <x:v>east-africa-broad-draft-1</x:v>
      </x:c>
      <x:c r="C1380" s="30" t="n">
        <x:v>5165</x:v>
      </x:c>
      <x:c r="D1380" s="32" t="str">
        <x:v>African Marsh Harrier</x:v>
      </x:c>
      <x:c r="E1380" s="32" t="str">
        <x:v>Circus ranivorus</x:v>
      </x:c>
      <x:c r="F1380" s="30" t="str">
        <x:v>very_rare</x:v>
      </x:c>
      <x:c r="G1380" s="30" t="str">
        <x:v>standard</x:v>
      </x:c>
      <x:c r="H1380" s="30" t="str">
        <x:v>year-round</x:v>
      </x:c>
      <x:c r="I13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1">
      <x:c r="A1381" s="36" t="str">
        <x:v>east_africa</x:v>
      </x:c>
      <x:c r="B1381" s="30" t="str">
        <x:v>east-africa-broad-draft-1</x:v>
      </x:c>
      <x:c r="C1381" s="30" t="n">
        <x:v>12784</x:v>
      </x:c>
      <x:c r="D1381" s="32" t="str">
        <x:v>Red-capped Robin-Chat</x:v>
      </x:c>
      <x:c r="E1381" s="32" t="str">
        <x:v>Cossypha natalensis</x:v>
      </x:c>
      <x:c r="F1381" s="30" t="str">
        <x:v>very_rare</x:v>
      </x:c>
      <x:c r="G1381" s="30" t="str">
        <x:v>standard</x:v>
      </x:c>
      <x:c r="H1381" s="30" t="str">
        <x:v>year-round</x:v>
      </x:c>
      <x:c r="I13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2">
      <x:c r="A1382" s="36" t="str">
        <x:v>east_africa</x:v>
      </x:c>
      <x:c r="B1382" s="30" t="str">
        <x:v>east-africa-broad-draft-1</x:v>
      </x:c>
      <x:c r="C1382" s="30" t="n">
        <x:v>32854</x:v>
      </x:c>
      <x:c r="D1382" s="32" t="str">
        <x:v>Flap-necked Chameleon</x:v>
      </x:c>
      <x:c r="E1382" s="32" t="str">
        <x:v>Chamaeleo dilepis</x:v>
      </x:c>
      <x:c r="F1382" s="30" t="str">
        <x:v>common</x:v>
      </x:c>
      <x:c r="G1382" s="30" t="str">
        <x:v>standard</x:v>
      </x:c>
      <x:c r="H1382" s="30" t="str">
        <x:v>year-round</x:v>
      </x:c>
      <x:c r="I13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3">
      <x:c r="A1383" s="36" t="str">
        <x:v>east_africa</x:v>
      </x:c>
      <x:c r="B1383" s="30" t="str">
        <x:v>east-africa-broad-draft-1</x:v>
      </x:c>
      <x:c r="C1383" s="30" t="n">
        <x:v>341972</x:v>
      </x:c>
      <x:c r="D1383" s="32" t="str">
        <x:v>Nile Crocodile</x:v>
      </x:c>
      <x:c r="E1383" s="32" t="str">
        <x:v>Crocodylus niloticus</x:v>
      </x:c>
      <x:c r="F1383" s="30" t="str">
        <x:v>common</x:v>
      </x:c>
      <x:c r="G1383" s="30" t="str">
        <x:v>standard</x:v>
      </x:c>
      <x:c r="H1383" s="30" t="str">
        <x:v>year-round</x:v>
      </x:c>
      <x:c r="I1383" s="37" t="str">
        <x:v>Owner-managed east_africa essential checklist; imported from east_africa_checklists.csv. Encounter rarity and prestige are curated game metadata. Automated rarity: inaturalist-regional-frequency-v1.</x:v>
      </x:c>
    </x:row>
    <x:row r="1384">
      <x:c r="A1384" s="36" t="str">
        <x:v>east_africa</x:v>
      </x:c>
      <x:c r="B1384" s="30" t="str">
        <x:v>east-africa-broad-draft-1</x:v>
      </x:c>
      <x:c r="C1384" s="30" t="n">
        <x:v>31155</x:v>
      </x:c>
      <x:c r="D1384" s="32" t="str">
        <x:v>Kenyan Rock Agama</x:v>
      </x:c>
      <x:c r="E1384" s="32" t="str">
        <x:v>Agama lionotus</x:v>
      </x:c>
      <x:c r="F1384" s="30" t="str">
        <x:v>common</x:v>
      </x:c>
      <x:c r="G1384" s="30" t="str">
        <x:v>standard</x:v>
      </x:c>
      <x:c r="H1384" s="30" t="str">
        <x:v>year-round</x:v>
      </x:c>
      <x:c r="I13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5">
      <x:c r="A1385" s="36" t="str">
        <x:v>east_africa</x:v>
      </x:c>
      <x:c r="B1385" s="30" t="str">
        <x:v>east-africa-broad-draft-1</x:v>
      </x:c>
      <x:c r="C1385" s="30" t="n">
        <x:v>71085</x:v>
      </x:c>
      <x:c r="D1385" s="32" t="str">
        <x:v>Nile Monitor</x:v>
      </x:c>
      <x:c r="E1385" s="32" t="str">
        <x:v>Varanus niloticus</x:v>
      </x:c>
      <x:c r="F1385" s="30" t="str">
        <x:v>common</x:v>
      </x:c>
      <x:c r="G1385" s="30" t="str">
        <x:v>standard</x:v>
      </x:c>
      <x:c r="H1385" s="30" t="str">
        <x:v>year-round</x:v>
      </x:c>
      <x:c r="I13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6">
      <x:c r="A1386" s="36" t="str">
        <x:v>east_africa</x:v>
      </x:c>
      <x:c r="B1386" s="30" t="str">
        <x:v>east-africa-broad-draft-1</x:v>
      </x:c>
      <x:c r="C1386" s="30" t="n">
        <x:v>37418</x:v>
      </x:c>
      <x:c r="D1386" s="32" t="str">
        <x:v>African Striped Skink</x:v>
      </x:c>
      <x:c r="E1386" s="32" t="str">
        <x:v>Trachylepis striata</x:v>
      </x:c>
      <x:c r="F1386" s="30" t="str">
        <x:v>common</x:v>
      </x:c>
      <x:c r="G1386" s="30" t="str">
        <x:v>standard</x:v>
      </x:c>
      <x:c r="H1386" s="30" t="str">
        <x:v>year-round</x:v>
      </x:c>
      <x:c r="I13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7">
      <x:c r="A1387" s="36" t="str">
        <x:v>east_africa</x:v>
      </x:c>
      <x:c r="B1387" s="30" t="str">
        <x:v>east-africa-broad-draft-1</x:v>
      </x:c>
      <x:c r="C1387" s="30" t="n">
        <x:v>68492</x:v>
      </x:c>
      <x:c r="D1387" s="32" t="str">
        <x:v>Tropical House Gecko</x:v>
      </x:c>
      <x:c r="E1387" s="32" t="str">
        <x:v>Hemidactylus mabouia</x:v>
      </x:c>
      <x:c r="F1387" s="30" t="str">
        <x:v>common</x:v>
      </x:c>
      <x:c r="G1387" s="30" t="str">
        <x:v>standard</x:v>
      </x:c>
      <x:c r="H1387" s="30" t="str">
        <x:v>year-round</x:v>
      </x:c>
      <x:c r="I13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8">
      <x:c r="A1388" s="36" t="str">
        <x:v>east_africa</x:v>
      </x:c>
      <x:c r="B1388" s="30" t="str">
        <x:v>east-africa-broad-draft-1</x:v>
      </x:c>
      <x:c r="C1388" s="30" t="n">
        <x:v>31132</x:v>
      </x:c>
      <x:c r="D1388" s="32" t="str">
        <x:v>Mwanza Flat-headed Rock Agama</x:v>
      </x:c>
      <x:c r="E1388" s="32" t="str">
        <x:v>Agama mwanzae</x:v>
      </x:c>
      <x:c r="F1388" s="30" t="str">
        <x:v>common</x:v>
      </x:c>
      <x:c r="G1388" s="30" t="str">
        <x:v>standard</x:v>
      </x:c>
      <x:c r="H1388" s="30" t="str">
        <x:v>year-round</x:v>
      </x:c>
      <x:c r="I13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89">
      <x:c r="A1389" s="36" t="str">
        <x:v>east_africa</x:v>
      </x:c>
      <x:c r="B1389" s="30" t="str">
        <x:v>east-africa-broad-draft-1</x:v>
      </x:c>
      <x:c r="C1389" s="30" t="n">
        <x:v>40092</x:v>
      </x:c>
      <x:c r="D1389" s="32" t="str">
        <x:v>Leopard Tortoise</x:v>
      </x:c>
      <x:c r="E1389" s="32" t="str">
        <x:v>Stigmochelys pardalis</x:v>
      </x:c>
      <x:c r="F1389" s="30" t="str">
        <x:v>common</x:v>
      </x:c>
      <x:c r="G1389" s="30" t="str">
        <x:v>standard</x:v>
      </x:c>
      <x:c r="H1389" s="30" t="str">
        <x:v>year-round</x:v>
      </x:c>
      <x:c r="I13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0">
      <x:c r="A1390" s="36" t="str">
        <x:v>east_africa</x:v>
      </x:c>
      <x:c r="B1390" s="30" t="str">
        <x:v>east-africa-broad-draft-1</x:v>
      </x:c>
      <x:c r="C1390" s="30" t="n">
        <x:v>34238</x:v>
      </x:c>
      <x:c r="D1390" s="32" t="str">
        <x:v>Painted Dwarf Gecko</x:v>
      </x:c>
      <x:c r="E1390" s="32" t="str">
        <x:v>Lygodactylus picturatus</x:v>
      </x:c>
      <x:c r="F1390" s="30" t="str">
        <x:v>common</x:v>
      </x:c>
      <x:c r="G1390" s="30" t="str">
        <x:v>standard</x:v>
      </x:c>
      <x:c r="H1390" s="30" t="str">
        <x:v>year-round</x:v>
      </x:c>
      <x:c r="I13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1">
      <x:c r="A1391" s="36" t="str">
        <x:v>east_africa</x:v>
      </x:c>
      <x:c r="B1391" s="30" t="str">
        <x:v>east-africa-broad-draft-1</x:v>
      </x:c>
      <x:c r="C1391" s="30" t="n">
        <x:v>495184</x:v>
      </x:c>
      <x:c r="D1391" s="32" t="str">
        <x:v>Speckle-lipped Mabuya</x:v>
      </x:c>
      <x:c r="E1391" s="32" t="str">
        <x:v>Trachylepis maculilabris</x:v>
      </x:c>
      <x:c r="F1391" s="30" t="str">
        <x:v>common</x:v>
      </x:c>
      <x:c r="G1391" s="30" t="str">
        <x:v>standard</x:v>
      </x:c>
      <x:c r="H1391" s="30" t="str">
        <x:v>year-round</x:v>
      </x:c>
      <x:c r="I13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2">
      <x:c r="A1392" s="36" t="str">
        <x:v>east_africa</x:v>
      </x:c>
      <x:c r="B1392" s="30" t="str">
        <x:v>east-africa-broad-draft-1</x:v>
      </x:c>
      <x:c r="C1392" s="30" t="n">
        <x:v>797594</x:v>
      </x:c>
      <x:c r="D1392" s="32" t="str">
        <x:v>Uganda blue-headed tree agama</x:v>
      </x:c>
      <x:c r="E1392" s="32" t="str">
        <x:v>Acanthocercus ugandaensis</x:v>
      </x:c>
      <x:c r="F1392" s="30" t="str">
        <x:v>common</x:v>
      </x:c>
      <x:c r="G1392" s="30" t="str">
        <x:v>standard</x:v>
      </x:c>
      <x:c r="H1392" s="30" t="str">
        <x:v>year-round</x:v>
      </x:c>
      <x:c r="I13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3">
      <x:c r="A1393" s="36" t="str">
        <x:v>east_africa</x:v>
      </x:c>
      <x:c r="B1393" s="30" t="str">
        <x:v>east-africa-broad-draft-1</x:v>
      </x:c>
      <x:c r="C1393" s="30" t="n">
        <x:v>466218</x:v>
      </x:c>
      <x:c r="D1393" s="32" t="str">
        <x:v>Rough-scaled Plated Lizard</x:v>
      </x:c>
      <x:c r="E1393" s="32" t="str">
        <x:v>Broadleysaurus major</x:v>
      </x:c>
      <x:c r="F1393" s="30" t="str">
        <x:v>common</x:v>
      </x:c>
      <x:c r="G1393" s="30" t="str">
        <x:v>standard</x:v>
      </x:c>
      <x:c r="H1393" s="30" t="str">
        <x:v>year-round</x:v>
      </x:c>
      <x:c r="I13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4">
      <x:c r="A1394" s="36" t="str">
        <x:v>east_africa</x:v>
      </x:c>
      <x:c r="B1394" s="30" t="str">
        <x:v>east-africa-broad-draft-1</x:v>
      </x:c>
      <x:c r="C1394" s="30" t="n">
        <x:v>32842</x:v>
      </x:c>
      <x:c r="D1394" s="32" t="str">
        <x:v>Helmeted Chameleon</x:v>
      </x:c>
      <x:c r="E1394" s="32" t="str">
        <x:v>Trioceros hoehnelii</x:v>
      </x:c>
      <x:c r="F1394" s="30" t="str">
        <x:v>common</x:v>
      </x:c>
      <x:c r="G1394" s="30" t="str">
        <x:v>standard</x:v>
      </x:c>
      <x:c r="H1394" s="30" t="str">
        <x:v>year-round</x:v>
      </x:c>
      <x:c r="I13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5">
      <x:c r="A1395" s="36" t="str">
        <x:v>east_africa</x:v>
      </x:c>
      <x:c r="B1395" s="30" t="str">
        <x:v>east-africa-broad-draft-1</x:v>
      </x:c>
      <x:c r="C1395" s="30" t="n">
        <x:v>93500</x:v>
      </x:c>
      <x:c r="D1395" s="32" t="str">
        <x:v>Finch’s agama</x:v>
      </x:c>
      <x:c r="E1395" s="32" t="str">
        <x:v>Agama finchi</x:v>
      </x:c>
      <x:c r="F1395" s="30" t="str">
        <x:v>common</x:v>
      </x:c>
      <x:c r="G1395" s="30" t="str">
        <x:v>standard</x:v>
      </x:c>
      <x:c r="H1395" s="30" t="str">
        <x:v>year-round</x:v>
      </x:c>
      <x:c r="I13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6">
      <x:c r="A1396" s="36" t="str">
        <x:v>east_africa</x:v>
      </x:c>
      <x:c r="B1396" s="30" t="str">
        <x:v>east-africa-broad-draft-1</x:v>
      </x:c>
      <x:c r="C1396" s="30" t="n">
        <x:v>32994</x:v>
      </x:c>
      <x:c r="D1396" s="32" t="str">
        <x:v>Pygmy Grass Chameleon</x:v>
      </x:c>
      <x:c r="E1396" s="32" t="str">
        <x:v>Rieppeleon kerstenii</x:v>
      </x:c>
      <x:c r="F1396" s="30" t="str">
        <x:v>common</x:v>
      </x:c>
      <x:c r="G1396" s="30" t="str">
        <x:v>standard</x:v>
      </x:c>
      <x:c r="H1396" s="30" t="str">
        <x:v>year-round</x:v>
      </x:c>
      <x:c r="I13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7">
      <x:c r="A1397" s="36" t="str">
        <x:v>east_africa</x:v>
      </x:c>
      <x:c r="B1397" s="30" t="str">
        <x:v>east-africa-broad-draft-1</x:v>
      </x:c>
      <x:c r="C1397" s="30" t="n">
        <x:v>32807</x:v>
      </x:c>
      <x:c r="D1397" s="32" t="str">
        <x:v>Jackson's Chameleon</x:v>
      </x:c>
      <x:c r="E1397" s="32" t="str">
        <x:v>Trioceros jacksonii</x:v>
      </x:c>
      <x:c r="F1397" s="30" t="str">
        <x:v>common</x:v>
      </x:c>
      <x:c r="G1397" s="30" t="str">
        <x:v>standard</x:v>
      </x:c>
      <x:c r="H1397" s="30" t="str">
        <x:v>year-round</x:v>
      </x:c>
      <x:c r="I13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8">
      <x:c r="A1398" s="36" t="str">
        <x:v>east_africa</x:v>
      </x:c>
      <x:c r="B1398" s="30" t="str">
        <x:v>east-africa-broad-draft-1</x:v>
      </x:c>
      <x:c r="C1398" s="30" t="n">
        <x:v>37421</x:v>
      </x:c>
      <x:c r="D1398" s="32" t="str">
        <x:v>African Five-lined Skink</x:v>
      </x:c>
      <x:c r="E1398" s="32" t="str">
        <x:v>Trachylepis quinquetaeniata</x:v>
      </x:c>
      <x:c r="F1398" s="30" t="str">
        <x:v>common</x:v>
      </x:c>
      <x:c r="G1398" s="30" t="str">
        <x:v>standard</x:v>
      </x:c>
      <x:c r="H1398" s="30" t="str">
        <x:v>year-round</x:v>
      </x:c>
      <x:c r="I13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399">
      <x:c r="A1399" s="36" t="str">
        <x:v>east_africa</x:v>
      </x:c>
      <x:c r="B1399" s="30" t="str">
        <x:v>east-africa-broad-draft-1</x:v>
      </x:c>
      <x:c r="C1399" s="30" t="n">
        <x:v>32949</x:v>
      </x:c>
      <x:c r="D1399" s="32" t="str">
        <x:v>Kilimanjaro two-horned chamaeleon</x:v>
      </x:c>
      <x:c r="E1399" s="32" t="str">
        <x:v>Kinyongia tavetana</x:v>
      </x:c>
      <x:c r="F1399" s="30" t="str">
        <x:v>common</x:v>
      </x:c>
      <x:c r="G1399" s="30" t="str">
        <x:v>standard</x:v>
      </x:c>
      <x:c r="H1399" s="30" t="str">
        <x:v>year-round</x:v>
      </x:c>
      <x:c r="I13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0">
      <x:c r="A1400" s="36" t="str">
        <x:v>east_africa</x:v>
      </x:c>
      <x:c r="B1400" s="30" t="str">
        <x:v>east-africa-broad-draft-1</x:v>
      </x:c>
      <x:c r="C1400" s="30" t="n">
        <x:v>34463</x:v>
      </x:c>
      <x:c r="D1400" s="32" t="str">
        <x:v>Flathead Leaf-toed Gecko</x:v>
      </x:c>
      <x:c r="E1400" s="32" t="str">
        <x:v>Hemidactylus platycephalus</x:v>
      </x:c>
      <x:c r="F1400" s="30" t="str">
        <x:v>common</x:v>
      </x:c>
      <x:c r="G1400" s="30" t="str">
        <x:v>standard</x:v>
      </x:c>
      <x:c r="H1400" s="30" t="str">
        <x:v>year-round</x:v>
      </x:c>
      <x:c r="I14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1">
      <x:c r="A1401" s="36" t="str">
        <x:v>east_africa</x:v>
      </x:c>
      <x:c r="B1401" s="30" t="str">
        <x:v>east-africa-broad-draft-1</x:v>
      </x:c>
      <x:c r="C1401" s="30" t="n">
        <x:v>32977</x:v>
      </x:c>
      <x:c r="D1401" s="32" t="str">
        <x:v>West Usambara two-horned chamaeleon</x:v>
      </x:c>
      <x:c r="E1401" s="32" t="str">
        <x:v>Kinyongia multituberculata</x:v>
      </x:c>
      <x:c r="F1401" s="30" t="str">
        <x:v>common</x:v>
      </x:c>
      <x:c r="G1401" s="30" t="str">
        <x:v>standard</x:v>
      </x:c>
      <x:c r="H1401" s="30" t="str">
        <x:v>year-round</x:v>
      </x:c>
      <x:c r="I14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2">
      <x:c r="A1402" s="36" t="str">
        <x:v>east_africa</x:v>
      </x:c>
      <x:c r="B1402" s="30" t="str">
        <x:v>east-africa-broad-draft-1</x:v>
      </x:c>
      <x:c r="C1402" s="30" t="n">
        <x:v>146246</x:v>
      </x:c>
      <x:c r="D1402" s="32" t="str">
        <x:v>White-headed Dwarf Gecko</x:v>
      </x:c>
      <x:c r="E1402" s="32" t="str">
        <x:v>Lygodactylus mombasicus</x:v>
      </x:c>
      <x:c r="F1402" s="30" t="str">
        <x:v>common</x:v>
      </x:c>
      <x:c r="G1402" s="30" t="str">
        <x:v>standard</x:v>
      </x:c>
      <x:c r="H1402" s="30" t="str">
        <x:v>year-round</x:v>
      </x:c>
      <x:c r="I14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3">
      <x:c r="A1403" s="36" t="str">
        <x:v>east_africa</x:v>
      </x:c>
      <x:c r="B1403" s="30" t="str">
        <x:v>east-africa-broad-draft-1</x:v>
      </x:c>
      <x:c r="C1403" s="30" t="n">
        <x:v>29074</x:v>
      </x:c>
      <x:c r="D1403" s="32" t="str">
        <x:v>Spotted Green Snake</x:v>
      </x:c>
      <x:c r="E1403" s="32" t="str">
        <x:v>Philothamnus punctatus</x:v>
      </x:c>
      <x:c r="F1403" s="30" t="str">
        <x:v>common</x:v>
      </x:c>
      <x:c r="G1403" s="30" t="str">
        <x:v>standard</x:v>
      </x:c>
      <x:c r="H1403" s="30" t="str">
        <x:v>year-round</x:v>
      </x:c>
      <x:c r="I14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4">
      <x:c r="A1404" s="36" t="str">
        <x:v>east_africa</x:v>
      </x:c>
      <x:c r="B1404" s="30" t="str">
        <x:v>east-africa-broad-draft-1</x:v>
      </x:c>
      <x:c r="C1404" s="30" t="n">
        <x:v>32837</x:v>
      </x:c>
      <x:c r="D1404" s="32" t="str">
        <x:v>Johnston's Chameleon</x:v>
      </x:c>
      <x:c r="E1404" s="32" t="str">
        <x:v>Trioceros johnstoni</x:v>
      </x:c>
      <x:c r="F1404" s="30" t="str">
        <x:v>common</x:v>
      </x:c>
      <x:c r="G1404" s="30" t="str">
        <x:v>standard</x:v>
      </x:c>
      <x:c r="H1404" s="30" t="str">
        <x:v>year-round</x:v>
      </x:c>
      <x:c r="I14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5">
      <x:c r="A1405" s="36" t="str">
        <x:v>east_africa</x:v>
      </x:c>
      <x:c r="B1405" s="30" t="str">
        <x:v>east-africa-broad-draft-1</x:v>
      </x:c>
      <x:c r="C1405" s="30" t="n">
        <x:v>1439535</x:v>
      </x:c>
      <x:c r="D1405" s="32" t="str">
        <x:v>Dodoma Rock Agama</x:v>
      </x:c>
      <x:c r="E1405" s="32" t="str">
        <x:v>Agama dodomae</x:v>
      </x:c>
      <x:c r="F1405" s="30" t="str">
        <x:v>common</x:v>
      </x:c>
      <x:c r="G1405" s="30" t="str">
        <x:v>standard</x:v>
      </x:c>
      <x:c r="H1405" s="30" t="str">
        <x:v>year-round</x:v>
      </x:c>
      <x:c r="I14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6">
      <x:c r="A1406" s="36" t="str">
        <x:v>east_africa</x:v>
      </x:c>
      <x:c r="B1406" s="30" t="str">
        <x:v>east-africa-broad-draft-1</x:v>
      </x:c>
      <x:c r="C1406" s="30" t="n">
        <x:v>39659</x:v>
      </x:c>
      <x:c r="D1406" s="32" t="str">
        <x:v>Green Sea Turtle</x:v>
      </x:c>
      <x:c r="E1406" s="32" t="str">
        <x:v>Chelonia mydas</x:v>
      </x:c>
      <x:c r="F1406" s="30" t="str">
        <x:v>common</x:v>
      </x:c>
      <x:c r="G1406" s="30" t="str">
        <x:v>standard</x:v>
      </x:c>
      <x:c r="H1406" s="30" t="str">
        <x:v>year-round</x:v>
      </x:c>
      <x:c r="I14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7">
      <x:c r="A1407" s="36" t="str">
        <x:v>east_africa</x:v>
      </x:c>
      <x:c r="B1407" s="30" t="str">
        <x:v>east-africa-broad-draft-1</x:v>
      </x:c>
      <x:c r="C1407" s="30" t="n">
        <x:v>32983</x:v>
      </x:c>
      <x:c r="D1407" s="32" t="str">
        <x:v>East Usambara Pitted Pygmy Chameleon</x:v>
      </x:c>
      <x:c r="E1407" s="32" t="str">
        <x:v>Rhampholeon temporalis</x:v>
      </x:c>
      <x:c r="F1407" s="30" t="str">
        <x:v>common</x:v>
      </x:c>
      <x:c r="G1407" s="30" t="str">
        <x:v>standard</x:v>
      </x:c>
      <x:c r="H1407" s="30" t="str">
        <x:v>year-round</x:v>
      </x:c>
      <x:c r="I14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8">
      <x:c r="A1408" s="36" t="str">
        <x:v>east_africa</x:v>
      </x:c>
      <x:c r="B1408" s="30" t="str">
        <x:v>east-africa-broad-draft-1</x:v>
      </x:c>
      <x:c r="C1408" s="30" t="n">
        <x:v>32852</x:v>
      </x:c>
      <x:c r="D1408" s="32" t="str">
        <x:v>Montane side-striped chameleon</x:v>
      </x:c>
      <x:c r="E1408" s="32" t="str">
        <x:v>Trioceros ellioti</x:v>
      </x:c>
      <x:c r="F1408" s="30" t="str">
        <x:v>common</x:v>
      </x:c>
      <x:c r="G1408" s="30" t="str">
        <x:v>standard</x:v>
      </x:c>
      <x:c r="H1408" s="30" t="str">
        <x:v>year-round</x:v>
      </x:c>
      <x:c r="I14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09">
      <x:c r="A1409" s="36" t="str">
        <x:v>east_africa</x:v>
      </x:c>
      <x:c r="B1409" s="30" t="str">
        <x:v>east-africa-broad-draft-1</x:v>
      </x:c>
      <x:c r="C1409" s="30" t="n">
        <x:v>32861</x:v>
      </x:c>
      <x:c r="D1409" s="32" t="str">
        <x:v>Wavy Chameleon</x:v>
      </x:c>
      <x:c r="E1409" s="32" t="str">
        <x:v>Trioceros deremensis</x:v>
      </x:c>
      <x:c r="F1409" s="30" t="str">
        <x:v>common</x:v>
      </x:c>
      <x:c r="G1409" s="30" t="str">
        <x:v>standard</x:v>
      </x:c>
      <x:c r="H1409" s="30" t="str">
        <x:v>year-round</x:v>
      </x:c>
      <x:c r="I14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0">
      <x:c r="A1410" s="36" t="str">
        <x:v>east_africa</x:v>
      </x:c>
      <x:c r="B1410" s="30" t="str">
        <x:v>east-africa-broad-draft-1</x:v>
      </x:c>
      <x:c r="C1410" s="30" t="n">
        <x:v>30851</x:v>
      </x:c>
      <x:c r="D1410" s="32" t="str">
        <x:v>Puff Adder</x:v>
      </x:c>
      <x:c r="E1410" s="32" t="str">
        <x:v>Bitis arietans</x:v>
      </x:c>
      <x:c r="F1410" s="30" t="str">
        <x:v>common</x:v>
      </x:c>
      <x:c r="G1410" s="30" t="str">
        <x:v>standard</x:v>
      </x:c>
      <x:c r="H1410" s="30" t="str">
        <x:v>year-round</x:v>
      </x:c>
      <x:c r="I14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1">
      <x:c r="A1411" s="36" t="str">
        <x:v>east_africa</x:v>
      </x:c>
      <x:c r="B1411" s="30" t="str">
        <x:v>east-africa-broad-draft-1</x:v>
      </x:c>
      <x:c r="C1411" s="30" t="n">
        <x:v>797591</x:v>
      </x:c>
      <x:c r="D1411" s="32" t="str">
        <x:v>Gregory's Blue-headed Agama</x:v>
      </x:c>
      <x:c r="E1411" s="32" t="str">
        <x:v>Acanthocercus gregorii</x:v>
      </x:c>
      <x:c r="F1411" s="30" t="str">
        <x:v>common</x:v>
      </x:c>
      <x:c r="G1411" s="30" t="str">
        <x:v>standard</x:v>
      </x:c>
      <x:c r="H1411" s="30" t="str">
        <x:v>year-round</x:v>
      </x:c>
      <x:c r="I14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2">
      <x:c r="A1412" s="36" t="str">
        <x:v>east_africa</x:v>
      </x:c>
      <x:c r="B1412" s="30" t="str">
        <x:v>east-africa-broad-draft-1</x:v>
      </x:c>
      <x:c r="C1412" s="30" t="n">
        <x:v>98703</x:v>
      </x:c>
      <x:c r="D1412" s="32" t="str">
        <x:v>East-African Snake-eyed Skink</x:v>
      </x:c>
      <x:c r="E1412" s="32" t="str">
        <x:v>Cryptoblepharus africanus</x:v>
      </x:c>
      <x:c r="F1412" s="30" t="str">
        <x:v>common</x:v>
      </x:c>
      <x:c r="G1412" s="30" t="str">
        <x:v>standard</x:v>
      </x:c>
      <x:c r="H1412" s="30" t="str">
        <x:v>year-round</x:v>
      </x:c>
      <x:c r="I14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3">
      <x:c r="A1413" s="36" t="str">
        <x:v>east_africa</x:v>
      </x:c>
      <x:c r="B1413" s="30" t="str">
        <x:v>east-africa-broad-draft-1</x:v>
      </x:c>
      <x:c r="C1413" s="30" t="n">
        <x:v>29760</x:v>
      </x:c>
      <x:c r="D1413" s="32" t="str">
        <x:v>Brown House Snake</x:v>
      </x:c>
      <x:c r="E1413" s="32" t="str">
        <x:v>Boaedon fuliginosus</x:v>
      </x:c>
      <x:c r="F1413" s="30" t="str">
        <x:v>common</x:v>
      </x:c>
      <x:c r="G1413" s="30" t="str">
        <x:v>standard</x:v>
      </x:c>
      <x:c r="H1413" s="30" t="str">
        <x:v>year-round</x:v>
      </x:c>
      <x:c r="I14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4">
      <x:c r="A1414" s="36" t="str">
        <x:v>east_africa</x:v>
      </x:c>
      <x:c r="B1414" s="30" t="str">
        <x:v>east-africa-broad-draft-1</x:v>
      </x:c>
      <x:c r="C1414" s="30" t="n">
        <x:v>85377</x:v>
      </x:c>
      <x:c r="D1414" s="32" t="str">
        <x:v>Helmeted Turtle</x:v>
      </x:c>
      <x:c r="E1414" s="32" t="str">
        <x:v>Pelomedusa subrufa</x:v>
      </x:c>
      <x:c r="F1414" s="30" t="str">
        <x:v>common</x:v>
      </x:c>
      <x:c r="G1414" s="30" t="str">
        <x:v>standard</x:v>
      </x:c>
      <x:c r="H1414" s="30" t="str">
        <x:v>year-round</x:v>
      </x:c>
      <x:c r="I14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5">
      <x:c r="A1415" s="36" t="str">
        <x:v>east_africa</x:v>
      </x:c>
      <x:c r="B1415" s="30" t="str">
        <x:v>east-africa-broad-draft-1</x:v>
      </x:c>
      <x:c r="C1415" s="30" t="n">
        <x:v>111810</x:v>
      </x:c>
      <x:c r="D1415" s="32" t="str">
        <x:v>Bearded Pygmy Chameleon</x:v>
      </x:c>
      <x:c r="E1415" s="32" t="str">
        <x:v>Rieppeleon brevicaudatus</x:v>
      </x:c>
      <x:c r="F1415" s="30" t="str">
        <x:v>common</x:v>
      </x:c>
      <x:c r="G1415" s="30" t="str">
        <x:v>standard</x:v>
      </x:c>
      <x:c r="H1415" s="30" t="str">
        <x:v>year-round</x:v>
      </x:c>
      <x:c r="I14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6">
      <x:c r="A1416" s="36" t="str">
        <x:v>east_africa</x:v>
      </x:c>
      <x:c r="B1416" s="30" t="str">
        <x:v>east-africa-broad-draft-1</x:v>
      </x:c>
      <x:c r="C1416" s="30" t="n">
        <x:v>32152</x:v>
      </x:c>
      <x:c r="D1416" s="32" t="str">
        <x:v>African Rock Python</x:v>
      </x:c>
      <x:c r="E1416" s="32" t="str">
        <x:v>Python sebae</x:v>
      </x:c>
      <x:c r="F1416" s="30" t="str">
        <x:v>common</x:v>
      </x:c>
      <x:c r="G1416" s="30" t="str">
        <x:v>standard</x:v>
      </x:c>
      <x:c r="H1416" s="30" t="str">
        <x:v>year-round</x:v>
      </x:c>
      <x:c r="I14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7">
      <x:c r="A1417" s="36" t="str">
        <x:v>east_africa</x:v>
      </x:c>
      <x:c r="B1417" s="30" t="str">
        <x:v>east-africa-broad-draft-1</x:v>
      </x:c>
      <x:c r="C1417" s="30" t="n">
        <x:v>82808</x:v>
      </x:c>
      <x:c r="D1417" s="32" t="str">
        <x:v>Red-lipped Snake</x:v>
      </x:c>
      <x:c r="E1417" s="32" t="str">
        <x:v>Crotaphopeltis hotamboeia</x:v>
      </x:c>
      <x:c r="F1417" s="30" t="str">
        <x:v>common</x:v>
      </x:c>
      <x:c r="G1417" s="30" t="str">
        <x:v>standard</x:v>
      </x:c>
      <x:c r="H1417" s="30" t="str">
        <x:v>year-round</x:v>
      </x:c>
      <x:c r="I14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8">
      <x:c r="A1418" s="36" t="str">
        <x:v>east_africa</x:v>
      </x:c>
      <x:c r="B1418" s="30" t="str">
        <x:v>east-africa-broad-draft-1</x:v>
      </x:c>
      <x:c r="C1418" s="30" t="n">
        <x:v>35397</x:v>
      </x:c>
      <x:c r="D1418" s="32" t="str">
        <x:v>Jackson's Forest Lizard</x:v>
      </x:c>
      <x:c r="E1418" s="32" t="str">
        <x:v>Adolfus jacksoni</x:v>
      </x:c>
      <x:c r="F1418" s="30" t="str">
        <x:v>common</x:v>
      </x:c>
      <x:c r="G1418" s="30" t="str">
        <x:v>standard</x:v>
      </x:c>
      <x:c r="H1418" s="30" t="str">
        <x:v>year-round</x:v>
      </x:c>
      <x:c r="I14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19">
      <x:c r="A1419" s="36" t="str">
        <x:v>east_africa</x:v>
      </x:c>
      <x:c r="B1419" s="30" t="str">
        <x:v>east-africa-broad-draft-1</x:v>
      </x:c>
      <x:c r="C1419" s="30" t="n">
        <x:v>29073</x:v>
      </x:c>
      <x:c r="D1419" s="32" t="str">
        <x:v>Spotted Bush Snake</x:v>
      </x:c>
      <x:c r="E1419" s="32" t="str">
        <x:v>Philothamnus semivariegatus</x:v>
      </x:c>
      <x:c r="F1419" s="30" t="str">
        <x:v>common</x:v>
      </x:c>
      <x:c r="G1419" s="30" t="str">
        <x:v>standard</x:v>
      </x:c>
      <x:c r="H1419" s="30" t="str">
        <x:v>year-round</x:v>
      </x:c>
      <x:c r="I14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0">
      <x:c r="A1420" s="36" t="str">
        <x:v>east_africa</x:v>
      </x:c>
      <x:c r="B1420" s="30" t="str">
        <x:v>east-africa-broad-draft-1</x:v>
      </x:c>
      <x:c r="C1420" s="30" t="n">
        <x:v>28964</x:v>
      </x:c>
      <x:c r="D1420" s="32" t="str">
        <x:v>Eastern Stripe-bellied Sand Snake</x:v>
      </x:c>
      <x:c r="E1420" s="32" t="str">
        <x:v>Psammophis orientalis</x:v>
      </x:c>
      <x:c r="F1420" s="30" t="str">
        <x:v>common</x:v>
      </x:c>
      <x:c r="G1420" s="30" t="str">
        <x:v>standard</x:v>
      </x:c>
      <x:c r="H1420" s="30" t="str">
        <x:v>year-round</x:v>
      </x:c>
      <x:c r="I14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1">
      <x:c r="A1421" s="36" t="str">
        <x:v>east_africa</x:v>
      </x:c>
      <x:c r="B1421" s="30" t="str">
        <x:v>east-africa-broad-draft-1</x:v>
      </x:c>
      <x:c r="C1421" s="30" t="n">
        <x:v>889688</x:v>
      </x:c>
      <x:c r="D1421" s="32" t="str">
        <x:v>Adolfus kibonotensis</x:v>
      </x:c>
      <x:c r="E1421" s="32" t="str">
        <x:v>Adolfus kibonotensis</x:v>
      </x:c>
      <x:c r="F1421" s="30" t="str">
        <x:v>common</x:v>
      </x:c>
      <x:c r="G1421" s="30" t="str">
        <x:v>standard</x:v>
      </x:c>
      <x:c r="H1421" s="30" t="str">
        <x:v>year-round</x:v>
      </x:c>
      <x:c r="I14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2">
      <x:c r="A1422" s="36" t="str">
        <x:v>east_africa</x:v>
      </x:c>
      <x:c r="B1422" s="30" t="str">
        <x:v>east-africa-broad-draft-1</x:v>
      </x:c>
      <x:c r="C1422" s="30" t="n">
        <x:v>32820</x:v>
      </x:c>
      <x:c r="D1422" s="32" t="str">
        <x:v>Coarse Chameleon</x:v>
      </x:c>
      <x:c r="E1422" s="32" t="str">
        <x:v>Trioceros rudis</x:v>
      </x:c>
      <x:c r="F1422" s="30" t="str">
        <x:v>common</x:v>
      </x:c>
      <x:c r="G1422" s="30" t="str">
        <x:v>standard</x:v>
      </x:c>
      <x:c r="H1422" s="30" t="str">
        <x:v>year-round</x:v>
      </x:c>
      <x:c r="I14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3">
      <x:c r="A1423" s="36" t="str">
        <x:v>east_africa</x:v>
      </x:c>
      <x:c r="B1423" s="30" t="str">
        <x:v>east-africa-broad-draft-1</x:v>
      </x:c>
      <x:c r="C1423" s="30" t="n">
        <x:v>34496</x:v>
      </x:c>
      <x:c r="D1423" s="32" t="str">
        <x:v>West African House Gecko</x:v>
      </x:c>
      <x:c r="E1423" s="32" t="str">
        <x:v>Hemidactylus angulatus</x:v>
      </x:c>
      <x:c r="F1423" s="30" t="str">
        <x:v>common</x:v>
      </x:c>
      <x:c r="G1423" s="30" t="str">
        <x:v>standard</x:v>
      </x:c>
      <x:c r="H1423" s="30" t="str">
        <x:v>year-round</x:v>
      </x:c>
      <x:c r="I14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4">
      <x:c r="A1424" s="36" t="str">
        <x:v>east_africa</x:v>
      </x:c>
      <x:c r="B1424" s="30" t="str">
        <x:v>east-africa-broad-draft-1</x:v>
      </x:c>
      <x:c r="C1424" s="30" t="n">
        <x:v>39672</x:v>
      </x:c>
      <x:c r="D1424" s="32" t="str">
        <x:v>Hawksbill Sea Turtle</x:v>
      </x:c>
      <x:c r="E1424" s="32" t="str">
        <x:v>Eretmochelys imbricata</x:v>
      </x:c>
      <x:c r="F1424" s="30" t="str">
        <x:v>common</x:v>
      </x:c>
      <x:c r="G1424" s="30" t="str">
        <x:v>standard</x:v>
      </x:c>
      <x:c r="H1424" s="30" t="str">
        <x:v>year-round</x:v>
      </x:c>
      <x:c r="I14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5">
      <x:c r="A1425" s="36" t="str">
        <x:v>east_africa</x:v>
      </x:c>
      <x:c r="B1425" s="30" t="str">
        <x:v>east-africa-broad-draft-1</x:v>
      </x:c>
      <x:c r="C1425" s="30" t="n">
        <x:v>34303</x:v>
      </x:c>
      <x:c r="D1425" s="32" t="str">
        <x:v>Common Dwarf Gecko</x:v>
      </x:c>
      <x:c r="E1425" s="32" t="str">
        <x:v>Lygodactylus capensis</x:v>
      </x:c>
      <x:c r="F1425" s="30" t="str">
        <x:v>common</x:v>
      </x:c>
      <x:c r="G1425" s="30" t="str">
        <x:v>standard</x:v>
      </x:c>
      <x:c r="H1425" s="30" t="str">
        <x:v>year-round</x:v>
      </x:c>
      <x:c r="I14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6">
      <x:c r="A1426" s="36" t="str">
        <x:v>east_africa</x:v>
      </x:c>
      <x:c r="B1426" s="30" t="str">
        <x:v>east-africa-broad-draft-1</x:v>
      </x:c>
      <x:c r="C1426" s="30" t="n">
        <x:v>797733</x:v>
      </x:c>
      <x:c r="D1426" s="32" t="str">
        <x:v>Brown Forest Cobra</x:v>
      </x:c>
      <x:c r="E1426" s="32" t="str">
        <x:v>Naja subfulva</x:v>
      </x:c>
      <x:c r="F1426" s="30" t="str">
        <x:v>common</x:v>
      </x:c>
      <x:c r="G1426" s="30" t="str">
        <x:v>standard</x:v>
      </x:c>
      <x:c r="H1426" s="30" t="str">
        <x:v>year-round</x:v>
      </x:c>
      <x:c r="I14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7">
      <x:c r="A1427" s="36" t="str">
        <x:v>east_africa</x:v>
      </x:c>
      <x:c r="B1427" s="30" t="str">
        <x:v>east-africa-broad-draft-1</x:v>
      </x:c>
      <x:c r="C1427" s="30" t="n">
        <x:v>37415</x:v>
      </x:c>
      <x:c r="D1427" s="32" t="str">
        <x:v>Variable Skink</x:v>
      </x:c>
      <x:c r="E1427" s="32" t="str">
        <x:v>Trachylepis varia</x:v>
      </x:c>
      <x:c r="F1427" s="30" t="str">
        <x:v>common</x:v>
      </x:c>
      <x:c r="G1427" s="30" t="str">
        <x:v>standard</x:v>
      </x:c>
      <x:c r="H1427" s="30" t="str">
        <x:v>year-round</x:v>
      </x:c>
      <x:c r="I14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8">
      <x:c r="A1428" s="36" t="str">
        <x:v>east_africa</x:v>
      </x:c>
      <x:c r="B1428" s="30" t="str">
        <x:v>east-africa-broad-draft-1</x:v>
      </x:c>
      <x:c r="C1428" s="30" t="n">
        <x:v>35972</x:v>
      </x:c>
      <x:c r="D1428" s="32" t="str">
        <x:v>Speke’s sand lizard</x:v>
      </x:c>
      <x:c r="E1428" s="32" t="str">
        <x:v>Heliobolus spekii</x:v>
      </x:c>
      <x:c r="F1428" s="30" t="str">
        <x:v>common</x:v>
      </x:c>
      <x:c r="G1428" s="30" t="str">
        <x:v>standard</x:v>
      </x:c>
      <x:c r="H1428" s="30" t="str">
        <x:v>year-round</x:v>
      </x:c>
      <x:c r="I14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29">
      <x:c r="A1429" s="36" t="str">
        <x:v>east_africa</x:v>
      </x:c>
      <x:c r="B1429" s="30" t="str">
        <x:v>east-africa-broad-draft-1</x:v>
      </x:c>
      <x:c r="C1429" s="30" t="n">
        <x:v>37423</x:v>
      </x:c>
      <x:c r="D1429" s="32" t="str">
        <x:v>Tree skink</x:v>
      </x:c>
      <x:c r="E1429" s="32" t="str">
        <x:v>Trachylepis planifrons</x:v>
      </x:c>
      <x:c r="F1429" s="30" t="str">
        <x:v>common</x:v>
      </x:c>
      <x:c r="G1429" s="30" t="str">
        <x:v>standard</x:v>
      </x:c>
      <x:c r="H1429" s="30" t="str">
        <x:v>year-round</x:v>
      </x:c>
      <x:c r="I14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0">
      <x:c r="A1430" s="36" t="str">
        <x:v>east_africa</x:v>
      </x:c>
      <x:c r="B1430" s="30" t="str">
        <x:v>east-africa-broad-draft-1</x:v>
      </x:c>
      <x:c r="C1430" s="30" t="n">
        <x:v>28333</x:v>
      </x:c>
      <x:c r="D1430" s="32" t="str">
        <x:v>Usambara Vine Snake</x:v>
      </x:c>
      <x:c r="E1430" s="32" t="str">
        <x:v>Thelotornis usambaricus</x:v>
      </x:c>
      <x:c r="F1430" s="30" t="str">
        <x:v>common</x:v>
      </x:c>
      <x:c r="G1430" s="30" t="str">
        <x:v>standard</x:v>
      </x:c>
      <x:c r="H1430" s="30" t="str">
        <x:v>year-round</x:v>
      </x:c>
      <x:c r="I14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1">
      <x:c r="A1431" s="36" t="str">
        <x:v>east_africa</x:v>
      </x:c>
      <x:c r="B1431" s="30" t="str">
        <x:v>east-africa-broad-draft-1</x:v>
      </x:c>
      <x:c r="C1431" s="30" t="n">
        <x:v>34059</x:v>
      </x:c>
      <x:c r="D1431" s="32" t="str">
        <x:v>Zanzibar Day Gecko</x:v>
      </x:c>
      <x:c r="E1431" s="32" t="str">
        <x:v>Phelsuma dubia</x:v>
      </x:c>
      <x:c r="F1431" s="30" t="str">
        <x:v>common</x:v>
      </x:c>
      <x:c r="G1431" s="30" t="str">
        <x:v>standard</x:v>
      </x:c>
      <x:c r="H1431" s="30" t="str">
        <x:v>year-round</x:v>
      </x:c>
      <x:c r="I14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2">
      <x:c r="A1432" s="36" t="str">
        <x:v>east_africa</x:v>
      </x:c>
      <x:c r="B1432" s="30" t="str">
        <x:v>east-africa-broad-draft-1</x:v>
      </x:c>
      <x:c r="C1432" s="30" t="n">
        <x:v>40126</x:v>
      </x:c>
      <x:c r="D1432" s="32" t="str">
        <x:v>Serrated Hinged Terrapin</x:v>
      </x:c>
      <x:c r="E1432" s="32" t="str">
        <x:v>Pelusios sinuatus</x:v>
      </x:c>
      <x:c r="F1432" s="30" t="str">
        <x:v>common</x:v>
      </x:c>
      <x:c r="G1432" s="30" t="str">
        <x:v>standard</x:v>
      </x:c>
      <x:c r="H1432" s="30" t="str">
        <x:v>year-round</x:v>
      </x:c>
      <x:c r="I14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3">
      <x:c r="A1433" s="36" t="str">
        <x:v>east_africa</x:v>
      </x:c>
      <x:c r="B1433" s="30" t="str">
        <x:v>east-africa-broad-draft-1</x:v>
      </x:c>
      <x:c r="C1433" s="30" t="n">
        <x:v>30476</x:v>
      </x:c>
      <x:c r="D1433" s="32" t="str">
        <x:v>Black-necked Spitting Cobra</x:v>
      </x:c>
      <x:c r="E1433" s="32" t="str">
        <x:v>Naja nigricollis</x:v>
      </x:c>
      <x:c r="F1433" s="30" t="str">
        <x:v>common</x:v>
      </x:c>
      <x:c r="G1433" s="30" t="str">
        <x:v>standard</x:v>
      </x:c>
      <x:c r="H1433" s="30" t="str">
        <x:v>year-round</x:v>
      </x:c>
      <x:c r="I14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4">
      <x:c r="A1434" s="36" t="str">
        <x:v>east_africa</x:v>
      </x:c>
      <x:c r="B1434" s="30" t="str">
        <x:v>east-africa-broad-draft-1</x:v>
      </x:c>
      <x:c r="C1434" s="30" t="n">
        <x:v>37932</x:v>
      </x:c>
      <x:c r="D1434" s="32" t="str">
        <x:v>Sundevall's Writhing Skink</x:v>
      </x:c>
      <x:c r="E1434" s="32" t="str">
        <x:v>Mochlus sundevallii</x:v>
      </x:c>
      <x:c r="F1434" s="30" t="str">
        <x:v>common</x:v>
      </x:c>
      <x:c r="G1434" s="30" t="str">
        <x:v>standard</x:v>
      </x:c>
      <x:c r="H1434" s="30" t="str">
        <x:v>year-round</x:v>
      </x:c>
      <x:c r="I14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5">
      <x:c r="A1435" s="36" t="str">
        <x:v>east_africa</x:v>
      </x:c>
      <x:c r="B1435" s="30" t="str">
        <x:v>east-africa-broad-draft-1</x:v>
      </x:c>
      <x:c r="C1435" s="30" t="n">
        <x:v>30358</x:v>
      </x:c>
      <x:c r="D1435" s="32" t="str">
        <x:v>Boomslang</x:v>
      </x:c>
      <x:c r="E1435" s="32" t="str">
        <x:v>Dispholidus typus</x:v>
      </x:c>
      <x:c r="F1435" s="30" t="str">
        <x:v>common</x:v>
      </x:c>
      <x:c r="G1435" s="30" t="str">
        <x:v>standard</x:v>
      </x:c>
      <x:c r="H1435" s="30" t="str">
        <x:v>year-round</x:v>
      </x:c>
      <x:c r="I14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6">
      <x:c r="A1436" s="36" t="str">
        <x:v>east_africa</x:v>
      </x:c>
      <x:c r="B1436" s="30" t="str">
        <x:v>east-africa-broad-draft-1</x:v>
      </x:c>
      <x:c r="C1436" s="30" t="n">
        <x:v>539233</x:v>
      </x:c>
      <x:c r="D1436" s="32" t="str">
        <x:v>Aldabra Giant Tortoise</x:v>
      </x:c>
      <x:c r="E1436" s="32" t="str">
        <x:v>Aldabrachelys gigantea</x:v>
      </x:c>
      <x:c r="F1436" s="30" t="str">
        <x:v>common</x:v>
      </x:c>
      <x:c r="G1436" s="30" t="str">
        <x:v>standard</x:v>
      </x:c>
      <x:c r="H1436" s="30" t="str">
        <x:v>year-round</x:v>
      </x:c>
      <x:c r="I14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7">
      <x:c r="A1437" s="36" t="str">
        <x:v>east_africa</x:v>
      </x:c>
      <x:c r="B1437" s="30" t="str">
        <x:v>east-africa-broad-draft-1</x:v>
      </x:c>
      <x:c r="C1437" s="30" t="n">
        <x:v>109304</x:v>
      </x:c>
      <x:c r="D1437" s="32" t="str">
        <x:v>Battersby's Green Snake</x:v>
      </x:c>
      <x:c r="E1437" s="32" t="str">
        <x:v>Philothamnus battersbyi</x:v>
      </x:c>
      <x:c r="F1437" s="30" t="str">
        <x:v>common</x:v>
      </x:c>
      <x:c r="G1437" s="30" t="str">
        <x:v>standard</x:v>
      </x:c>
      <x:c r="H1437" s="30" t="str">
        <x:v>year-round</x:v>
      </x:c>
      <x:c r="I14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8">
      <x:c r="A1438" s="36" t="str">
        <x:v>east_africa</x:v>
      </x:c>
      <x:c r="B1438" s="30" t="str">
        <x:v>east-africa-broad-draft-1</x:v>
      </x:c>
      <x:c r="C1438" s="30" t="n">
        <x:v>29084</x:v>
      </x:c>
      <x:c r="D1438" s="32" t="str">
        <x:v>Green Water Snake</x:v>
      </x:c>
      <x:c r="E1438" s="32" t="str">
        <x:v>Philothamnus hoplogaster</x:v>
      </x:c>
      <x:c r="F1438" s="30" t="str">
        <x:v>common</x:v>
      </x:c>
      <x:c r="G1438" s="30" t="str">
        <x:v>standard</x:v>
      </x:c>
      <x:c r="H1438" s="30" t="str">
        <x:v>year-round</x:v>
      </x:c>
      <x:c r="I14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39">
      <x:c r="A1439" s="36" t="str">
        <x:v>east_africa</x:v>
      </x:c>
      <x:c r="B1439" s="30" t="str">
        <x:v>east-africa-broad-draft-1</x:v>
      </x:c>
      <x:c r="C1439" s="30" t="n">
        <x:v>103682</x:v>
      </x:c>
      <x:c r="D1439" s="32" t="str">
        <x:v>Matschie’s two-horned chamaeleon</x:v>
      </x:c>
      <x:c r="E1439" s="32" t="str">
        <x:v>Kinyongia matschiei</x:v>
      </x:c>
      <x:c r="F1439" s="30" t="str">
        <x:v>common</x:v>
      </x:c>
      <x:c r="G1439" s="30" t="str">
        <x:v>standard</x:v>
      </x:c>
      <x:c r="H1439" s="30" t="str">
        <x:v>year-round</x:v>
      </x:c>
      <x:c r="I14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0">
      <x:c r="A1440" s="36" t="str">
        <x:v>east_africa</x:v>
      </x:c>
      <x:c r="B1440" s="30" t="str">
        <x:v>east-africa-broad-draft-1</x:v>
      </x:c>
      <x:c r="C1440" s="30" t="n">
        <x:v>37439</x:v>
      </x:c>
      <x:c r="D1440" s="32" t="str">
        <x:v>Sudan Mabuya</x:v>
      </x:c>
      <x:c r="E1440" s="32" t="str">
        <x:v>Trachylepis brevicollis</x:v>
      </x:c>
      <x:c r="F1440" s="30" t="str">
        <x:v>common</x:v>
      </x:c>
      <x:c r="G1440" s="30" t="str">
        <x:v>standard</x:v>
      </x:c>
      <x:c r="H1440" s="30" t="str">
        <x:v>year-round</x:v>
      </x:c>
      <x:c r="I14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1">
      <x:c r="A1441" s="36" t="str">
        <x:v>east_africa</x:v>
      </x:c>
      <x:c r="B1441" s="30" t="str">
        <x:v>east-africa-broad-draft-1</x:v>
      </x:c>
      <x:c r="C1441" s="30" t="n">
        <x:v>32950</x:v>
      </x:c>
      <x:c r="D1441" s="32" t="str">
        <x:v>Böhme’s two-horned chamaeleon</x:v>
      </x:c>
      <x:c r="E1441" s="32" t="str">
        <x:v>Kinyongia boehmei</x:v>
      </x:c>
      <x:c r="F1441" s="30" t="str">
        <x:v>common</x:v>
      </x:c>
      <x:c r="G1441" s="30" t="str">
        <x:v>standard</x:v>
      </x:c>
      <x:c r="H1441" s="30" t="str">
        <x:v>year-round</x:v>
      </x:c>
      <x:c r="I14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2">
      <x:c r="A1442" s="36" t="str">
        <x:v>east_africa</x:v>
      </x:c>
      <x:c r="B1442" s="30" t="str">
        <x:v>east-africa-broad-draft-1</x:v>
      </x:c>
      <x:c r="C1442" s="30" t="n">
        <x:v>32871</x:v>
      </x:c>
      <x:c r="D1442" s="32" t="str">
        <x:v>Side-striped Chameleon</x:v>
      </x:c>
      <x:c r="E1442" s="32" t="str">
        <x:v>Trioceros bitaeniatus</x:v>
      </x:c>
      <x:c r="F1442" s="30" t="str">
        <x:v>common</x:v>
      </x:c>
      <x:c r="G1442" s="30" t="str">
        <x:v>standard</x:v>
      </x:c>
      <x:c r="H1442" s="30" t="str">
        <x:v>year-round</x:v>
      </x:c>
      <x:c r="I14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3">
      <x:c r="A1443" s="36" t="str">
        <x:v>east_africa</x:v>
      </x:c>
      <x:c r="B1443" s="30" t="str">
        <x:v>east-africa-broad-draft-1</x:v>
      </x:c>
      <x:c r="C1443" s="30" t="n">
        <x:v>1630133</x:v>
      </x:c>
      <x:c r="D1443" s="32" t="str">
        <x:v>Rainbow Skink</x:v>
      </x:c>
      <x:c r="E1443" s="32" t="str">
        <x:v>Trachylepis margaritifer</x:v>
      </x:c>
      <x:c r="F1443" s="30" t="str">
        <x:v>common</x:v>
      </x:c>
      <x:c r="G1443" s="30" t="str">
        <x:v>standard</x:v>
      </x:c>
      <x:c r="H1443" s="30" t="str">
        <x:v>year-round</x:v>
      </x:c>
      <x:c r="I14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4">
      <x:c r="A1444" s="36" t="str">
        <x:v>east_africa</x:v>
      </x:c>
      <x:c r="B1444" s="30" t="str">
        <x:v>east-africa-broad-draft-1</x:v>
      </x:c>
      <x:c r="C1444" s="30" t="n">
        <x:v>32947</x:v>
      </x:c>
      <x:c r="D1444" s="32" t="str">
        <x:v>Matschie's Dwarf Chameleon</x:v>
      </x:c>
      <x:c r="E1444" s="32" t="str">
        <x:v>Kinyongia tenuis</x:v>
      </x:c>
      <x:c r="F1444" s="30" t="str">
        <x:v>common</x:v>
      </x:c>
      <x:c r="G1444" s="30" t="str">
        <x:v>standard</x:v>
      </x:c>
      <x:c r="H1444" s="30" t="str">
        <x:v>year-round</x:v>
      </x:c>
      <x:c r="I14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5">
      <x:c r="A1445" s="36" t="str">
        <x:v>east_africa</x:v>
      </x:c>
      <x:c r="B1445" s="30" t="str">
        <x:v>east-africa-broad-draft-1</x:v>
      </x:c>
      <x:c r="C1445" s="30" t="n">
        <x:v>40065</x:v>
      </x:c>
      <x:c r="D1445" s="32" t="str">
        <x:v>Bell’s Hingeback Tortoise</x:v>
      </x:c>
      <x:c r="E1445" s="32" t="str">
        <x:v>Kinixys belliana</x:v>
      </x:c>
      <x:c r="F1445" s="30" t="str">
        <x:v>common</x:v>
      </x:c>
      <x:c r="G1445" s="30" t="str">
        <x:v>standard</x:v>
      </x:c>
      <x:c r="H1445" s="30" t="str">
        <x:v>year-round</x:v>
      </x:c>
      <x:c r="I14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6">
      <x:c r="A1446" s="36" t="str">
        <x:v>east_africa</x:v>
      </x:c>
      <x:c r="B1446" s="30" t="str">
        <x:v>east-africa-broad-draft-1</x:v>
      </x:c>
      <x:c r="C1446" s="30" t="n">
        <x:v>67433</x:v>
      </x:c>
      <x:c r="D1446" s="32" t="str">
        <x:v>Speke's Hinge-back Tortoise</x:v>
      </x:c>
      <x:c r="E1446" s="32" t="str">
        <x:v>Kinixys spekii</x:v>
      </x:c>
      <x:c r="F1446" s="30" t="str">
        <x:v>common</x:v>
      </x:c>
      <x:c r="G1446" s="30" t="str">
        <x:v>standard</x:v>
      </x:c>
      <x:c r="H1446" s="30" t="str">
        <x:v>year-round</x:v>
      </x:c>
      <x:c r="I14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7">
      <x:c r="A1447" s="36" t="str">
        <x:v>east_africa</x:v>
      </x:c>
      <x:c r="B1447" s="30" t="str">
        <x:v>east-africa-broad-draft-1</x:v>
      </x:c>
      <x:c r="C1447" s="30" t="n">
        <x:v>32845</x:v>
      </x:c>
      <x:c r="D1447" s="32" t="str">
        <x:v>Graceful Chameleon</x:v>
      </x:c>
      <x:c r="E1447" s="32" t="str">
        <x:v>Chamaeleo gracilis</x:v>
      </x:c>
      <x:c r="F1447" s="30" t="str">
        <x:v>common</x:v>
      </x:c>
      <x:c r="G1447" s="30" t="str">
        <x:v>standard</x:v>
      </x:c>
      <x:c r="H1447" s="30" t="str">
        <x:v>year-round</x:v>
      </x:c>
      <x:c r="I14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8">
      <x:c r="A1448" s="36" t="str">
        <x:v>east_africa</x:v>
      </x:c>
      <x:c r="B1448" s="30" t="str">
        <x:v>east-africa-broad-draft-1</x:v>
      </x:c>
      <x:c r="C1448" s="30" t="n">
        <x:v>56629</x:v>
      </x:c>
      <x:c r="D1448" s="32" t="str">
        <x:v>Olive Whip Snake</x:v>
      </x:c>
      <x:c r="E1448" s="32" t="str">
        <x:v>Psammophis mossambicus</x:v>
      </x:c>
      <x:c r="F1448" s="30" t="str">
        <x:v>uncommon</x:v>
      </x:c>
      <x:c r="G1448" s="30" t="str">
        <x:v>standard</x:v>
      </x:c>
      <x:c r="H1448" s="30" t="str">
        <x:v>year-round</x:v>
      </x:c>
      <x:c r="I14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49">
      <x:c r="A1449" s="36" t="str">
        <x:v>east_africa</x:v>
      </x:c>
      <x:c r="B1449" s="30" t="str">
        <x:v>east-africa-broad-draft-1</x:v>
      </x:c>
      <x:c r="C1449" s="30" t="n">
        <x:v>111451</x:v>
      </x:c>
      <x:c r="D1449" s="32" t="str">
        <x:v>Southern African Python</x:v>
      </x:c>
      <x:c r="E1449" s="32" t="str">
        <x:v>Python natalensis</x:v>
      </x:c>
      <x:c r="F1449" s="30" t="str">
        <x:v>uncommon</x:v>
      </x:c>
      <x:c r="G1449" s="30" t="str">
        <x:v>standard</x:v>
      </x:c>
      <x:c r="H1449" s="30" t="str">
        <x:v>year-round</x:v>
      </x:c>
      <x:c r="I14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0">
      <x:c r="A1450" s="36" t="str">
        <x:v>east_africa</x:v>
      </x:c>
      <x:c r="B1450" s="30" t="str">
        <x:v>east-africa-broad-draft-1</x:v>
      </x:c>
      <x:c r="C1450" s="30" t="n">
        <x:v>34273</x:v>
      </x:c>
      <x:c r="D1450" s="32" t="str">
        <x:v>Kenya Dwarf Gecko</x:v>
      </x:c>
      <x:c r="E1450" s="32" t="str">
        <x:v>Lygodactylus keniensis</x:v>
      </x:c>
      <x:c r="F1450" s="30" t="str">
        <x:v>uncommon</x:v>
      </x:c>
      <x:c r="G1450" s="30" t="str">
        <x:v>standard</x:v>
      </x:c>
      <x:c r="H1450" s="30" t="str">
        <x:v>year-round</x:v>
      </x:c>
      <x:c r="I14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1">
      <x:c r="A1451" s="36" t="str">
        <x:v>east_africa</x:v>
      </x:c>
      <x:c r="B1451" s="30" t="str">
        <x:v>east-africa-broad-draft-1</x:v>
      </x:c>
      <x:c r="C1451" s="30" t="n">
        <x:v>964785</x:v>
      </x:c>
      <x:c r="D1451" s="32" t="str">
        <x:v>Wahlberg's Snake-eyed Skink</x:v>
      </x:c>
      <x:c r="E1451" s="32" t="str">
        <x:v>Panaspis wahlbergii</x:v>
      </x:c>
      <x:c r="F1451" s="30" t="str">
        <x:v>uncommon</x:v>
      </x:c>
      <x:c r="G1451" s="30" t="str">
        <x:v>standard</x:v>
      </x:c>
      <x:c r="H1451" s="30" t="str">
        <x:v>year-round</x:v>
      </x:c>
      <x:c r="I14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2">
      <x:c r="A1452" s="36" t="str">
        <x:v>east_africa</x:v>
      </x:c>
      <x:c r="B1452" s="30" t="str">
        <x:v>east-africa-broad-draft-1</x:v>
      </x:c>
      <x:c r="C1452" s="30" t="n">
        <x:v>32818</x:v>
      </x:c>
      <x:c r="D1452" s="32" t="str">
        <x:v>Tanzanian Montane Dwarf Chameleon</x:v>
      </x:c>
      <x:c r="E1452" s="32" t="str">
        <x:v>Trioceros sternfeldi</x:v>
      </x:c>
      <x:c r="F1452" s="30" t="str">
        <x:v>uncommon</x:v>
      </x:c>
      <x:c r="G1452" s="30" t="str">
        <x:v>standard</x:v>
      </x:c>
      <x:c r="H1452" s="30" t="str">
        <x:v>year-round</x:v>
      </x:c>
      <x:c r="I14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3">
      <x:c r="A1453" s="36" t="str">
        <x:v>east_africa</x:v>
      </x:c>
      <x:c r="B1453" s="30" t="str">
        <x:v>east-africa-broad-draft-1</x:v>
      </x:c>
      <x:c r="C1453" s="30" t="n">
        <x:v>539884</x:v>
      </x:c>
      <x:c r="D1453" s="32" t="str">
        <x:v>Merker's thread Snake</x:v>
      </x:c>
      <x:c r="E1453" s="32" t="str">
        <x:v>Leptotyphlops merkeri</x:v>
      </x:c>
      <x:c r="F1453" s="30" t="str">
        <x:v>uncommon</x:v>
      </x:c>
      <x:c r="G1453" s="30" t="str">
        <x:v>standard</x:v>
      </x:c>
      <x:c r="H1453" s="30" t="str">
        <x:v>year-round</x:v>
      </x:c>
      <x:c r="I14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4">
      <x:c r="A1454" s="36" t="str">
        <x:v>east_africa</x:v>
      </x:c>
      <x:c r="B1454" s="30" t="str">
        <x:v>east-africa-broad-draft-1</x:v>
      </x:c>
      <x:c r="C1454" s="30" t="n">
        <x:v>29508</x:v>
      </x:c>
      <x:c r="D1454" s="32" t="str">
        <x:v>Cape Wolf Snake</x:v>
      </x:c>
      <x:c r="E1454" s="32" t="str">
        <x:v>Lycophidion capense</x:v>
      </x:c>
      <x:c r="F1454" s="30" t="str">
        <x:v>uncommon</x:v>
      </x:c>
      <x:c r="G1454" s="30" t="str">
        <x:v>standard</x:v>
      </x:c>
      <x:c r="H1454" s="30" t="str">
        <x:v>year-round</x:v>
      </x:c>
      <x:c r="I14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5">
      <x:c r="A1455" s="36" t="str">
        <x:v>east_africa</x:v>
      </x:c>
      <x:c r="B1455" s="30" t="str">
        <x:v>east-africa-broad-draft-1</x:v>
      </x:c>
      <x:c r="C1455" s="30" t="n">
        <x:v>110765</x:v>
      </x:c>
      <x:c r="D1455" s="32" t="str">
        <x:v>Link-marked Sand Snake</x:v>
      </x:c>
      <x:c r="E1455" s="32" t="str">
        <x:v>Psammophis biseriatus</x:v>
      </x:c>
      <x:c r="F1455" s="30" t="str">
        <x:v>uncommon</x:v>
      </x:c>
      <x:c r="G1455" s="30" t="str">
        <x:v>standard</x:v>
      </x:c>
      <x:c r="H1455" s="30" t="str">
        <x:v>year-round</x:v>
      </x:c>
      <x:c r="I14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6">
      <x:c r="A1456" s="36" t="str">
        <x:v>east_africa</x:v>
      </x:c>
      <x:c r="B1456" s="30" t="str">
        <x:v>east-africa-broad-draft-1</x:v>
      </x:c>
      <x:c r="C1456" s="30" t="n">
        <x:v>30880</x:v>
      </x:c>
      <x:c r="D1456" s="32" t="str">
        <x:v>Great Lakes Bush Viper</x:v>
      </x:c>
      <x:c r="E1456" s="32" t="str">
        <x:v>Atheris nitschei</x:v>
      </x:c>
      <x:c r="F1456" s="30" t="str">
        <x:v>uncommon</x:v>
      </x:c>
      <x:c r="G1456" s="30" t="str">
        <x:v>standard</x:v>
      </x:c>
      <x:c r="H1456" s="30" t="str">
        <x:v>year-round</x:v>
      </x:c>
      <x:c r="I14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7">
      <x:c r="A1457" s="36" t="str">
        <x:v>east_africa</x:v>
      </x:c>
      <x:c r="B1457" s="30" t="str">
        <x:v>east-africa-broad-draft-1</x:v>
      </x:c>
      <x:c r="C1457" s="30" t="n">
        <x:v>28338</x:v>
      </x:c>
      <x:c r="D1457" s="32" t="str">
        <x:v>Eastern Twig Snake</x:v>
      </x:c>
      <x:c r="E1457" s="32" t="str">
        <x:v>Thelotornis mossambicanus</x:v>
      </x:c>
      <x:c r="F1457" s="30" t="str">
        <x:v>uncommon</x:v>
      </x:c>
      <x:c r="G1457" s="30" t="str">
        <x:v>standard</x:v>
      </x:c>
      <x:c r="H1457" s="30" t="str">
        <x:v>year-round</x:v>
      </x:c>
      <x:c r="I14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8">
      <x:c r="A1458" s="36" t="str">
        <x:v>east_africa</x:v>
      </x:c>
      <x:c r="B1458" s="30" t="str">
        <x:v>east-africa-broad-draft-1</x:v>
      </x:c>
      <x:c r="C1458" s="30" t="n">
        <x:v>30855</x:v>
      </x:c>
      <x:c r="D1458" s="32" t="str">
        <x:v>Rhinoceros Viper</x:v>
      </x:c>
      <x:c r="E1458" s="32" t="str">
        <x:v>Bitis nasicornis</x:v>
      </x:c>
      <x:c r="F1458" s="30" t="str">
        <x:v>uncommon</x:v>
      </x:c>
      <x:c r="G1458" s="30" t="str">
        <x:v>standard</x:v>
      </x:c>
      <x:c r="H1458" s="30" t="str">
        <x:v>year-round</x:v>
      </x:c>
      <x:c r="I14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59">
      <x:c r="A1459" s="36" t="str">
        <x:v>east_africa</x:v>
      </x:c>
      <x:c r="B1459" s="30" t="str">
        <x:v>east-africa-broad-draft-1</x:v>
      </x:c>
      <x:c r="C1459" s="30" t="n">
        <x:v>28771</x:v>
      </x:c>
      <x:c r="D1459" s="32" t="str">
        <x:v>Eastern Rufous Beaked Snake</x:v>
      </x:c>
      <x:c r="E1459" s="32" t="str">
        <x:v>Rhamphiophis rostratus</x:v>
      </x:c>
      <x:c r="F1459" s="30" t="str">
        <x:v>uncommon</x:v>
      </x:c>
      <x:c r="G1459" s="30" t="str">
        <x:v>standard</x:v>
      </x:c>
      <x:c r="H1459" s="30" t="str">
        <x:v>year-round</x:v>
      </x:c>
      <x:c r="I14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0">
      <x:c r="A1460" s="36" t="str">
        <x:v>east_africa</x:v>
      </x:c>
      <x:c r="B1460" s="30" t="str">
        <x:v>east-africa-broad-draft-1</x:v>
      </x:c>
      <x:c r="C1460" s="30" t="n">
        <x:v>34312</x:v>
      </x:c>
      <x:c r="D1460" s="32" t="str">
        <x:v>Angulate dwarf gecko</x:v>
      </x:c>
      <x:c r="E1460" s="32" t="str">
        <x:v>Lygodactylus angularis</x:v>
      </x:c>
      <x:c r="F1460" s="30" t="str">
        <x:v>uncommon</x:v>
      </x:c>
      <x:c r="G1460" s="30" t="str">
        <x:v>standard</x:v>
      </x:c>
      <x:c r="H1460" s="30" t="str">
        <x:v>year-round</x:v>
      </x:c>
      <x:c r="I14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1">
      <x:c r="A1461" s="36" t="str">
        <x:v>east_africa</x:v>
      </x:c>
      <x:c r="B1461" s="30" t="str">
        <x:v>east-africa-broad-draft-1</x:v>
      </x:c>
      <x:c r="C1461" s="30" t="n">
        <x:v>32988</x:v>
      </x:c>
      <x:c r="D1461" s="32" t="str">
        <x:v>Nchisi Pitless Pygmy Chameleon</x:v>
      </x:c>
      <x:c r="E1461" s="32" t="str">
        <x:v>Rhampholeon nchisiensis</x:v>
      </x:c>
      <x:c r="F1461" s="30" t="str">
        <x:v>uncommon</x:v>
      </x:c>
      <x:c r="G1461" s="30" t="str">
        <x:v>standard</x:v>
      </x:c>
      <x:c r="H1461" s="30" t="str">
        <x:v>year-round</x:v>
      </x:c>
      <x:c r="I14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2">
      <x:c r="A1462" s="36" t="str">
        <x:v>east_africa</x:v>
      </x:c>
      <x:c r="B1462" s="30" t="str">
        <x:v>east-africa-broad-draft-1</x:v>
      </x:c>
      <x:c r="C1462" s="30" t="n">
        <x:v>30853</x:v>
      </x:c>
      <x:c r="D1462" s="32" t="str">
        <x:v>Gaboon Viper</x:v>
      </x:c>
      <x:c r="E1462" s="32" t="str">
        <x:v>Bitis gabonica</x:v>
      </x:c>
      <x:c r="F1462" s="30" t="str">
        <x:v>uncommon</x:v>
      </x:c>
      <x:c r="G1462" s="30" t="str">
        <x:v>standard</x:v>
      </x:c>
      <x:c r="H1462" s="30" t="str">
        <x:v>year-round</x:v>
      </x:c>
      <x:c r="I14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3">
      <x:c r="A1463" s="36" t="str">
        <x:v>east_africa</x:v>
      </x:c>
      <x:c r="B1463" s="30" t="str">
        <x:v>east-africa-broad-draft-1</x:v>
      </x:c>
      <x:c r="C1463" s="30" t="n">
        <x:v>26717</x:v>
      </x:c>
      <x:c r="D1463" s="32" t="str">
        <x:v>Egg-eating Snake</x:v>
      </x:c>
      <x:c r="E1463" s="32" t="str">
        <x:v>Dasypeltis scabra</x:v>
      </x:c>
      <x:c r="F1463" s="30" t="str">
        <x:v>uncommon</x:v>
      </x:c>
      <x:c r="G1463" s="30" t="str">
        <x:v>standard</x:v>
      </x:c>
      <x:c r="H1463" s="30" t="str">
        <x:v>year-round</x:v>
      </x:c>
      <x:c r="I14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4">
      <x:c r="A1464" s="36" t="str">
        <x:v>east_africa</x:v>
      </x:c>
      <x:c r="B1464" s="30" t="str">
        <x:v>east-africa-broad-draft-1</x:v>
      </x:c>
      <x:c r="C1464" s="30" t="n">
        <x:v>318701</x:v>
      </x:c>
      <x:c r="D1464" s="32" t="str">
        <x:v>Eastern Hinged-Back Tortoise</x:v>
      </x:c>
      <x:c r="E1464" s="32" t="str">
        <x:v>Kinixys zombensis</x:v>
      </x:c>
      <x:c r="F1464" s="30" t="str">
        <x:v>uncommon</x:v>
      </x:c>
      <x:c r="G1464" s="30" t="str">
        <x:v>standard</x:v>
      </x:c>
      <x:c r="H1464" s="30" t="str">
        <x:v>year-round</x:v>
      </x:c>
      <x:c r="I14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5">
      <x:c r="A1465" s="36" t="str">
        <x:v>east_africa</x:v>
      </x:c>
      <x:c r="B1465" s="30" t="str">
        <x:v>east-africa-broad-draft-1</x:v>
      </x:c>
      <x:c r="C1465" s="30" t="n">
        <x:v>40063</x:v>
      </x:c>
      <x:c r="D1465" s="32" t="str">
        <x:v>Crevice Tortoise</x:v>
      </x:c>
      <x:c r="E1465" s="32" t="str">
        <x:v>Malacochersus tornieri</x:v>
      </x:c>
      <x:c r="F1465" s="30" t="str">
        <x:v>uncommon</x:v>
      </x:c>
      <x:c r="G1465" s="30" t="str">
        <x:v>standard</x:v>
      </x:c>
      <x:c r="H1465" s="30" t="str">
        <x:v>year-round</x:v>
      </x:c>
      <x:c r="I14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6">
      <x:c r="A1466" s="36" t="str">
        <x:v>east_africa</x:v>
      </x:c>
      <x:c r="B1466" s="30" t="str">
        <x:v>east-africa-broad-draft-1</x:v>
      </x:c>
      <x:c r="C1466" s="30" t="n">
        <x:v>32819</x:v>
      </x:c>
      <x:c r="D1466" s="32" t="str">
        <x:v>Mount Kenya Side-striped Chameleon</x:v>
      </x:c>
      <x:c r="E1466" s="32" t="str">
        <x:v>Trioceros schubotzi</x:v>
      </x:c>
      <x:c r="F1466" s="30" t="str">
        <x:v>uncommon</x:v>
      </x:c>
      <x:c r="G1466" s="30" t="str">
        <x:v>standard</x:v>
      </x:c>
      <x:c r="H1466" s="30" t="str">
        <x:v>year-round</x:v>
      </x:c>
      <x:c r="I14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7">
      <x:c r="A1467" s="36" t="str">
        <x:v>east_africa</x:v>
      </x:c>
      <x:c r="B1467" s="30" t="str">
        <x:v>east-africa-broad-draft-1</x:v>
      </x:c>
      <x:c r="C1467" s="30" t="n">
        <x:v>32610</x:v>
      </x:c>
      <x:c r="D1467" s="32" t="str">
        <x:v>Common Lined Worm Snake</x:v>
      </x:c>
      <x:c r="E1467" s="32" t="str">
        <x:v>Afrotyphlops lineolatus</x:v>
      </x:c>
      <x:c r="F1467" s="30" t="str">
        <x:v>uncommon</x:v>
      </x:c>
      <x:c r="G1467" s="30" t="str">
        <x:v>standard</x:v>
      </x:c>
      <x:c r="H1467" s="30" t="str">
        <x:v>year-round</x:v>
      </x:c>
      <x:c r="I14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8">
      <x:c r="A1468" s="36" t="str">
        <x:v>east_africa</x:v>
      </x:c>
      <x:c r="B1468" s="30" t="str">
        <x:v>east-africa-broad-draft-1</x:v>
      </x:c>
      <x:c r="C1468" s="30" t="n">
        <x:v>1403184</x:v>
      </x:c>
      <x:c r="D1468" s="32" t="str">
        <x:v>African Gecko</x:v>
      </x:c>
      <x:c r="E1468" s="32" t="str">
        <x:v>Ancylodactylus africanus</x:v>
      </x:c>
      <x:c r="F1468" s="30" t="str">
        <x:v>uncommon</x:v>
      </x:c>
      <x:c r="G1468" s="30" t="str">
        <x:v>standard</x:v>
      </x:c>
      <x:c r="H1468" s="30" t="str">
        <x:v>year-round</x:v>
      </x:c>
      <x:c r="I14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69">
      <x:c r="A1469" s="36" t="str">
        <x:v>east_africa</x:v>
      </x:c>
      <x:c r="B1469" s="30" t="str">
        <x:v>east-africa-broad-draft-1</x:v>
      </x:c>
      <x:c r="C1469" s="30" t="n">
        <x:v>30877</x:v>
      </x:c>
      <x:c r="D1469" s="32" t="str">
        <x:v>African Bush Viper</x:v>
      </x:c>
      <x:c r="E1469" s="32" t="str">
        <x:v>Atheris squamigera</x:v>
      </x:c>
      <x:c r="F1469" s="30" t="str">
        <x:v>uncommon</x:v>
      </x:c>
      <x:c r="G1469" s="30" t="str">
        <x:v>standard</x:v>
      </x:c>
      <x:c r="H1469" s="30" t="str">
        <x:v>year-round</x:v>
      </x:c>
      <x:c r="I14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0">
      <x:c r="A1470" s="36" t="str">
        <x:v>east_africa</x:v>
      </x:c>
      <x:c r="B1470" s="30" t="str">
        <x:v>east-africa-broad-draft-1</x:v>
      </x:c>
      <x:c r="C1470" s="30" t="n">
        <x:v>82807</x:v>
      </x:c>
      <x:c r="D1470" s="32" t="str">
        <x:v>Ashe's Spitting Cobra</x:v>
      </x:c>
      <x:c r="E1470" s="32" t="str">
        <x:v>Naja ashei</x:v>
      </x:c>
      <x:c r="F1470" s="30" t="str">
        <x:v>uncommon</x:v>
      </x:c>
      <x:c r="G1470" s="30" t="str">
        <x:v>standard</x:v>
      </x:c>
      <x:c r="H1470" s="30" t="str">
        <x:v>year-round</x:v>
      </x:c>
      <x:c r="I14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1">
      <x:c r="A1471" s="36" t="str">
        <x:v>east_africa</x:v>
      </x:c>
      <x:c r="B1471" s="30" t="str">
        <x:v>east-africa-broad-draft-1</x:v>
      </x:c>
      <x:c r="C1471" s="30" t="n">
        <x:v>32814</x:v>
      </x:c>
      <x:c r="D1471" s="32" t="str">
        <x:v>Tanzania Mountain Chameleon</x:v>
      </x:c>
      <x:c r="E1471" s="32" t="str">
        <x:v>Trioceros tempeli</x:v>
      </x:c>
      <x:c r="F1471" s="30" t="str">
        <x:v>uncommon</x:v>
      </x:c>
      <x:c r="G1471" s="30" t="str">
        <x:v>standard</x:v>
      </x:c>
      <x:c r="H1471" s="30" t="str">
        <x:v>year-round</x:v>
      </x:c>
      <x:c r="I14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2">
      <x:c r="A1472" s="36" t="str">
        <x:v>east_africa</x:v>
      </x:c>
      <x:c r="B1472" s="30" t="str">
        <x:v>east-africa-broad-draft-1</x:v>
      </x:c>
      <x:c r="C1472" s="30" t="n">
        <x:v>488396</x:v>
      </x:c>
      <x:c r="D1472" s="32" t="str">
        <x:v>Southern Highlands One-horned Chameleon</x:v>
      </x:c>
      <x:c r="E1472" s="32" t="str">
        <x:v>Kinyongia msuyae</x:v>
      </x:c>
      <x:c r="F1472" s="30" t="str">
        <x:v>uncommon</x:v>
      </x:c>
      <x:c r="G1472" s="30" t="str">
        <x:v>standard</x:v>
      </x:c>
      <x:c r="H1472" s="30" t="str">
        <x:v>year-round</x:v>
      </x:c>
      <x:c r="I14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3">
      <x:c r="A1473" s="36" t="str">
        <x:v>east_africa</x:v>
      </x:c>
      <x:c r="B1473" s="30" t="str">
        <x:v>east-africa-broad-draft-1</x:v>
      </x:c>
      <x:c r="C1473" s="30" t="n">
        <x:v>35827</x:v>
      </x:c>
      <x:c r="D1473" s="32" t="str">
        <x:v>Common Long-tailed Lizard</x:v>
      </x:c>
      <x:c r="E1473" s="32" t="str">
        <x:v>Latastia longicaudata</x:v>
      </x:c>
      <x:c r="F1473" s="30" t="str">
        <x:v>uncommon</x:v>
      </x:c>
      <x:c r="G1473" s="30" t="str">
        <x:v>standard</x:v>
      </x:c>
      <x:c r="H1473" s="30" t="str">
        <x:v>year-round</x:v>
      </x:c>
      <x:c r="I14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4">
      <x:c r="A1474" s="36" t="str">
        <x:v>east_africa</x:v>
      </x:c>
      <x:c r="B1474" s="30" t="str">
        <x:v>east-africa-broad-draft-1</x:v>
      </x:c>
      <x:c r="C1474" s="30" t="n">
        <x:v>30405</x:v>
      </x:c>
      <x:c r="D1474" s="32" t="str">
        <x:v>Black Mamba</x:v>
      </x:c>
      <x:c r="E1474" s="32" t="str">
        <x:v>Dendroaspis polylepis</x:v>
      </x:c>
      <x:c r="F1474" s="30" t="str">
        <x:v>uncommon</x:v>
      </x:c>
      <x:c r="G1474" s="30" t="str">
        <x:v>standard</x:v>
      </x:c>
      <x:c r="H1474" s="30" t="str">
        <x:v>year-round</x:v>
      </x:c>
      <x:c r="I14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5">
      <x:c r="A1475" s="36" t="str">
        <x:v>east_africa</x:v>
      </x:c>
      <x:c r="B1475" s="30" t="str">
        <x:v>east-africa-broad-draft-1</x:v>
      </x:c>
      <x:c r="C1475" s="30" t="n">
        <x:v>30486</x:v>
      </x:c>
      <x:c r="D1475" s="32" t="str">
        <x:v>Red Spitting Cobra</x:v>
      </x:c>
      <x:c r="E1475" s="32" t="str">
        <x:v>Naja pallida</x:v>
      </x:c>
      <x:c r="F1475" s="30" t="str">
        <x:v>uncommon</x:v>
      </x:c>
      <x:c r="G1475" s="30" t="str">
        <x:v>standard</x:v>
      </x:c>
      <x:c r="H1475" s="30" t="str">
        <x:v>year-round</x:v>
      </x:c>
      <x:c r="I14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6">
      <x:c r="A1476" s="36" t="str">
        <x:v>east_africa</x:v>
      </x:c>
      <x:c r="B1476" s="30" t="str">
        <x:v>east-africa-broad-draft-1</x:v>
      </x:c>
      <x:c r="C1476" s="30" t="n">
        <x:v>34454</x:v>
      </x:c>
      <x:c r="D1476" s="32" t="str">
        <x:v>Nyika Gecko</x:v>
      </x:c>
      <x:c r="E1476" s="32" t="str">
        <x:v>Hemidactylus squamulatus</x:v>
      </x:c>
      <x:c r="F1476" s="30" t="str">
        <x:v>rare</x:v>
      </x:c>
      <x:c r="G1476" s="30" t="str">
        <x:v>standard</x:v>
      </x:c>
      <x:c r="H1476" s="30" t="str">
        <x:v>year-round</x:v>
      </x:c>
      <x:c r="I14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7">
      <x:c r="A1477" s="36" t="str">
        <x:v>east_africa</x:v>
      </x:c>
      <x:c r="B1477" s="30" t="str">
        <x:v>east-africa-broad-draft-1</x:v>
      </x:c>
      <x:c r="C1477" s="30" t="n">
        <x:v>30411</x:v>
      </x:c>
      <x:c r="D1477" s="32" t="str">
        <x:v>Eastern Green Mamba</x:v>
      </x:c>
      <x:c r="E1477" s="32" t="str">
        <x:v>Dendroaspis angusticeps</x:v>
      </x:c>
      <x:c r="F1477" s="30" t="str">
        <x:v>rare</x:v>
      </x:c>
      <x:c r="G1477" s="30" t="str">
        <x:v>standard</x:v>
      </x:c>
      <x:c r="H1477" s="30" t="str">
        <x:v>year-round</x:v>
      </x:c>
      <x:c r="I14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8">
      <x:c r="A1478" s="36" t="str">
        <x:v>east_africa</x:v>
      </x:c>
      <x:c r="B1478" s="30" t="str">
        <x:v>east-africa-broad-draft-1</x:v>
      </x:c>
      <x:c r="C1478" s="30" t="n">
        <x:v>28971</x:v>
      </x:c>
      <x:c r="D1478" s="32" t="str">
        <x:v>Speckled Sand Racer</x:v>
      </x:c>
      <x:c r="E1478" s="32" t="str">
        <x:v>Psammophis punctulatus</x:v>
      </x:c>
      <x:c r="F1478" s="30" t="str">
        <x:v>rare</x:v>
      </x:c>
      <x:c r="G1478" s="30" t="str">
        <x:v>standard</x:v>
      </x:c>
      <x:c r="H1478" s="30" t="str">
        <x:v>year-round</x:v>
      </x:c>
      <x:c r="I14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79">
      <x:c r="A1479" s="36" t="str">
        <x:v>east_africa</x:v>
      </x:c>
      <x:c r="B1479" s="30" t="str">
        <x:v>east-africa-broad-draft-1</x:v>
      </x:c>
      <x:c r="C1479" s="30" t="n">
        <x:v>797597</x:v>
      </x:c>
      <x:c r="D1479" s="32" t="str">
        <x:v>Peters's Rock Agama</x:v>
      </x:c>
      <x:c r="E1479" s="32" t="str">
        <x:v>Agama picticauda</x:v>
      </x:c>
      <x:c r="F1479" s="30" t="str">
        <x:v>rare</x:v>
      </x:c>
      <x:c r="G1479" s="30" t="str">
        <x:v>standard</x:v>
      </x:c>
      <x:c r="H1479" s="30" t="str">
        <x:v>year-round</x:v>
      </x:c>
      <x:c r="I14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0">
      <x:c r="A1480" s="36" t="str">
        <x:v>east_africa</x:v>
      </x:c>
      <x:c r="B1480" s="30" t="str">
        <x:v>east-africa-broad-draft-1</x:v>
      </x:c>
      <x:c r="C1480" s="30" t="n">
        <x:v>35510</x:v>
      </x:c>
      <x:c r="D1480" s="32" t="str">
        <x:v>Brenner’s Sand Racer</x:v>
      </x:c>
      <x:c r="E1480" s="32" t="str">
        <x:v>Pseuderemias brenneri</x:v>
      </x:c>
      <x:c r="F1480" s="30" t="str">
        <x:v>rare</x:v>
      </x:c>
      <x:c r="G1480" s="30" t="str">
        <x:v>standard</x:v>
      </x:c>
      <x:c r="H1480" s="30" t="str">
        <x:v>year-round</x:v>
      </x:c>
      <x:c r="I14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1">
      <x:c r="A1481" s="36" t="str">
        <x:v>east_africa</x:v>
      </x:c>
      <x:c r="B1481" s="30" t="str">
        <x:v>east-africa-broad-draft-1</x:v>
      </x:c>
      <x:c r="C1481" s="30" t="n">
        <x:v>965969</x:v>
      </x:c>
      <x:c r="D1481" s="32" t="str">
        <x:v>Tsavo dwarf gecko</x:v>
      </x:c>
      <x:c r="E1481" s="32" t="str">
        <x:v>Lygodactylus tsavoensis</x:v>
      </x:c>
      <x:c r="F1481" s="30" t="str">
        <x:v>rare</x:v>
      </x:c>
      <x:c r="G1481" s="30" t="str">
        <x:v>standard</x:v>
      </x:c>
      <x:c r="H1481" s="30" t="str">
        <x:v>year-round</x:v>
      </x:c>
      <x:c r="I14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2">
      <x:c r="A1482" s="36" t="str">
        <x:v>east_africa</x:v>
      </x:c>
      <x:c r="B1482" s="30" t="str">
        <x:v>east-africa-broad-draft-1</x:v>
      </x:c>
      <x:c r="C1482" s="30" t="n">
        <x:v>38256</x:v>
      </x:c>
      <x:c r="D1482" s="32" t="str">
        <x:v>Kilimanjaro Five-toed Skink</x:v>
      </x:c>
      <x:c r="E1482" s="32" t="str">
        <x:v>Leptosiaphos kilimensis</x:v>
      </x:c>
      <x:c r="F1482" s="30" t="str">
        <x:v>rare</x:v>
      </x:c>
      <x:c r="G1482" s="30" t="str">
        <x:v>standard</x:v>
      </x:c>
      <x:c r="H1482" s="30" t="str">
        <x:v>year-round</x:v>
      </x:c>
      <x:c r="I14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3">
      <x:c r="A1483" s="36" t="str">
        <x:v>east_africa</x:v>
      </x:c>
      <x:c r="B1483" s="30" t="str">
        <x:v>east-africa-broad-draft-1</x:v>
      </x:c>
      <x:c r="C1483" s="30" t="n">
        <x:v>540043</x:v>
      </x:c>
      <x:c r="D1483" s="32" t="str">
        <x:v>Neumann's Marsh Terrapin</x:v>
      </x:c>
      <x:c r="E1483" s="32" t="str">
        <x:v>Pelomedusa neumanni</x:v>
      </x:c>
      <x:c r="F1483" s="30" t="str">
        <x:v>rare</x:v>
      </x:c>
      <x:c r="G1483" s="30" t="str">
        <x:v>standard</x:v>
      </x:c>
      <x:c r="H1483" s="30" t="str">
        <x:v>year-round</x:v>
      </x:c>
      <x:c r="I14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4">
      <x:c r="A1484" s="36" t="str">
        <x:v>east_africa</x:v>
      </x:c>
      <x:c r="B1484" s="30" t="str">
        <x:v>east-africa-broad-draft-1</x:v>
      </x:c>
      <x:c r="C1484" s="30" t="n">
        <x:v>32816</x:v>
      </x:c>
      <x:c r="D1484" s="32" t="str">
        <x:v>Werner's Chameleon</x:v>
      </x:c>
      <x:c r="E1484" s="32" t="str">
        <x:v>Trioceros werneri</x:v>
      </x:c>
      <x:c r="F1484" s="30" t="str">
        <x:v>rare</x:v>
      </x:c>
      <x:c r="G1484" s="30" t="str">
        <x:v>standard</x:v>
      </x:c>
      <x:c r="H1484" s="30" t="str">
        <x:v>year-round</x:v>
      </x:c>
      <x:c r="I14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5">
      <x:c r="A1485" s="36" t="str">
        <x:v>east_africa</x:v>
      </x:c>
      <x:c r="B1485" s="30" t="str">
        <x:v>east-africa-broad-draft-1</x:v>
      </x:c>
      <x:c r="C1485" s="30" t="n">
        <x:v>341973</x:v>
      </x:c>
      <x:c r="D1485" s="32" t="str">
        <x:v>West African Crocodile</x:v>
      </x:c>
      <x:c r="E1485" s="32" t="str">
        <x:v>Crocodylus suchus</x:v>
      </x:c>
      <x:c r="F1485" s="30" t="str">
        <x:v>rare</x:v>
      </x:c>
      <x:c r="G1485" s="30" t="str">
        <x:v>standard</x:v>
      </x:c>
      <x:c r="H1485" s="30" t="str">
        <x:v>year-round</x:v>
      </x:c>
      <x:c r="I14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6">
      <x:c r="A1486" s="36" t="str">
        <x:v>east_africa</x:v>
      </x:c>
      <x:c r="B1486" s="30" t="str">
        <x:v>east-africa-broad-draft-1</x:v>
      </x:c>
      <x:c r="C1486" s="30" t="n">
        <x:v>30654</x:v>
      </x:c>
      <x:c r="D1486" s="32" t="str">
        <x:v>East African Garter Snake</x:v>
      </x:c>
      <x:c r="E1486" s="32" t="str">
        <x:v>Elapsoidea loveridgei</x:v>
      </x:c>
      <x:c r="F1486" s="30" t="str">
        <x:v>rare</x:v>
      </x:c>
      <x:c r="G1486" s="30" t="str">
        <x:v>standard</x:v>
      </x:c>
      <x:c r="H1486" s="30" t="str">
        <x:v>year-round</x:v>
      </x:c>
      <x:c r="I14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7">
      <x:c r="A1487" s="36" t="str">
        <x:v>east_africa</x:v>
      </x:c>
      <x:c r="B1487" s="30" t="str">
        <x:v>east-africa-broad-draft-1</x:v>
      </x:c>
      <x:c r="C1487" s="30" t="n">
        <x:v>28965</x:v>
      </x:c>
      <x:c r="D1487" s="32" t="str">
        <x:v>Northern Stripe-bellied Sand Snake</x:v>
      </x:c>
      <x:c r="E1487" s="32" t="str">
        <x:v>Psammophis sudanensis</x:v>
      </x:c>
      <x:c r="F1487" s="30" t="str">
        <x:v>rare</x:v>
      </x:c>
      <x:c r="G1487" s="30" t="str">
        <x:v>standard</x:v>
      </x:c>
      <x:c r="H1487" s="30" t="str">
        <x:v>year-round</x:v>
      </x:c>
      <x:c r="I14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8">
      <x:c r="A1488" s="36" t="str">
        <x:v>east_africa</x:v>
      </x:c>
      <x:c r="B1488" s="30" t="str">
        <x:v>east-africa-broad-draft-1</x:v>
      </x:c>
      <x:c r="C1488" s="30" t="n">
        <x:v>31147</x:v>
      </x:c>
      <x:c r="D1488" s="32" t="str">
        <x:v>Elmenteita Rock Agama</x:v>
      </x:c>
      <x:c r="E1488" s="32" t="str">
        <x:v>Agama caudospinosa</x:v>
      </x:c>
      <x:c r="F1488" s="30" t="str">
        <x:v>very_rare</x:v>
      </x:c>
      <x:c r="G1488" s="30" t="str">
        <x:v>standard</x:v>
      </x:c>
      <x:c r="H1488" s="30" t="str">
        <x:v>year-round</x:v>
      </x:c>
      <x:c r="I14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89">
      <x:c r="A1489" s="36" t="str">
        <x:v>east_africa</x:v>
      </x:c>
      <x:c r="B1489" s="30" t="str">
        <x:v>east-africa-broad-draft-1</x:v>
      </x:c>
      <x:c r="C1489" s="30" t="n">
        <x:v>31120</x:v>
      </x:c>
      <x:c r="D1489" s="32" t="str">
        <x:v>Spiny Agama</x:v>
      </x:c>
      <x:c r="E1489" s="32" t="str">
        <x:v>Agama spinosa</x:v>
      </x:c>
      <x:c r="F1489" s="30" t="str">
        <x:v>rare</x:v>
      </x:c>
      <x:c r="G1489" s="30" t="str">
        <x:v>standard</x:v>
      </x:c>
      <x:c r="H1489" s="30" t="str">
        <x:v>year-round</x:v>
      </x:c>
      <x:c r="I14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0">
      <x:c r="A1490" s="36" t="str">
        <x:v>east_africa</x:v>
      </x:c>
      <x:c r="B1490" s="30" t="str">
        <x:v>east-africa-broad-draft-1</x:v>
      </x:c>
      <x:c r="C1490" s="30" t="n">
        <x:v>32208</x:v>
      </x:c>
      <x:c r="D1490" s="32" t="str">
        <x:v>East African Sand Boa</x:v>
      </x:c>
      <x:c r="E1490" s="32" t="str">
        <x:v>Eryx colubrinus</x:v>
      </x:c>
      <x:c r="F1490" s="30" t="str">
        <x:v>very_rare</x:v>
      </x:c>
      <x:c r="G1490" s="30" t="str">
        <x:v>standard</x:v>
      </x:c>
      <x:c r="H1490" s="30" t="str">
        <x:v>year-round</x:v>
      </x:c>
      <x:c r="I14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1">
      <x:c r="A1491" s="36" t="str">
        <x:v>east_africa</x:v>
      </x:c>
      <x:c r="B1491" s="30" t="str">
        <x:v>east-africa-broad-draft-1</x:v>
      </x:c>
      <x:c r="C1491" s="30" t="n">
        <x:v>31088</x:v>
      </x:c>
      <x:c r="D1491" s="32" t="str">
        <x:v>Egyptian Saw-scaled Viper</x:v>
      </x:c>
      <x:c r="E1491" s="32" t="str">
        <x:v>Echis pyramidum</x:v>
      </x:c>
      <x:c r="F1491" s="30" t="str">
        <x:v>very_rare</x:v>
      </x:c>
      <x:c r="G1491" s="30" t="str">
        <x:v>standard</x:v>
      </x:c>
      <x:c r="H1491" s="30" t="str">
        <x:v>year-round</x:v>
      </x:c>
      <x:c r="I14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2">
      <x:c r="A1492" s="36" t="str">
        <x:v>east_africa</x:v>
      </x:c>
      <x:c r="B1492" s="30" t="str">
        <x:v>east-africa-broad-draft-1</x:v>
      </x:c>
      <x:c r="C1492" s="30" t="n">
        <x:v>102823</x:v>
      </x:c>
      <x:c r="D1492" s="32" t="str">
        <x:v>Spiny Seahorse</x:v>
      </x:c>
      <x:c r="E1492" s="32" t="str">
        <x:v>Hippocampus histrix</x:v>
      </x:c>
      <x:c r="F1492" s="30" t="str">
        <x:v>common</x:v>
      </x:c>
      <x:c r="G1492" s="30" t="str">
        <x:v>standard</x:v>
      </x:c>
      <x:c r="H1492" s="30" t="str">
        <x:v>year-round</x:v>
      </x:c>
      <x:c r="I14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3">
      <x:c r="A1493" s="36" t="str">
        <x:v>east_africa</x:v>
      </x:c>
      <x:c r="B1493" s="30" t="str">
        <x:v>east-africa-broad-draft-1</x:v>
      </x:c>
      <x:c r="C1493" s="30" t="n">
        <x:v>49303</x:v>
      </x:c>
      <x:c r="D1493" s="32" t="str">
        <x:v>Three-spot Dascyllus</x:v>
      </x:c>
      <x:c r="E1493" s="32" t="str">
        <x:v>Dascyllus trimaculatus</x:v>
      </x:c>
      <x:c r="F1493" s="30" t="str">
        <x:v>common</x:v>
      </x:c>
      <x:c r="G1493" s="30" t="str">
        <x:v>standard</x:v>
      </x:c>
      <x:c r="H1493" s="30" t="str">
        <x:v>year-round</x:v>
      </x:c>
      <x:c r="I14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4">
      <x:c r="A1494" s="36" t="str">
        <x:v>east_africa</x:v>
      </x:c>
      <x:c r="B1494" s="30" t="str">
        <x:v>east-africa-broad-draft-1</x:v>
      </x:c>
      <x:c r="C1494" s="30" t="n">
        <x:v>180787</x:v>
      </x:c>
      <x:c r="D1494" s="32" t="str">
        <x:v>Allard's Anemonefish</x:v>
      </x:c>
      <x:c r="E1494" s="32" t="str">
        <x:v>Amphiprion allardi</x:v>
      </x:c>
      <x:c r="F1494" s="30" t="str">
        <x:v>common</x:v>
      </x:c>
      <x:c r="G1494" s="30" t="str">
        <x:v>standard</x:v>
      </x:c>
      <x:c r="H1494" s="30" t="str">
        <x:v>year-round</x:v>
      </x:c>
      <x:c r="I14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5">
      <x:c r="A1495" s="36" t="str">
        <x:v>east_africa</x:v>
      </x:c>
      <x:c r="B1495" s="30" t="str">
        <x:v>east-africa-broad-draft-1</x:v>
      </x:c>
      <x:c r="C1495" s="30" t="n">
        <x:v>123459</x:v>
      </x:c>
      <x:c r="D1495" s="32" t="str">
        <x:v>Indian Lionfish</x:v>
      </x:c>
      <x:c r="E1495" s="32" t="str">
        <x:v>Pterois miles</x:v>
      </x:c>
      <x:c r="F1495" s="30" t="str">
        <x:v>common</x:v>
      </x:c>
      <x:c r="G1495" s="30" t="str">
        <x:v>standard</x:v>
      </x:c>
      <x:c r="H1495" s="30" t="str">
        <x:v>year-round</x:v>
      </x:c>
      <x:c r="I14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6">
      <x:c r="A1496" s="36" t="str">
        <x:v>east_africa</x:v>
      </x:c>
      <x:c r="B1496" s="30" t="str">
        <x:v>east-africa-broad-draft-1</x:v>
      </x:c>
      <x:c r="C1496" s="30" t="n">
        <x:v>84970</x:v>
      </x:c>
      <x:c r="D1496" s="32" t="str">
        <x:v>Common Seahorse</x:v>
      </x:c>
      <x:c r="E1496" s="32" t="str">
        <x:v>Hippocampus kuda</x:v>
      </x:c>
      <x:c r="F1496" s="30" t="str">
        <x:v>common</x:v>
      </x:c>
      <x:c r="G1496" s="30" t="str">
        <x:v>standard</x:v>
      </x:c>
      <x:c r="H1496" s="30" t="str">
        <x:v>year-round</x:v>
      </x:c>
      <x:c r="I14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7">
      <x:c r="A1497" s="36" t="str">
        <x:v>east_africa</x:v>
      </x:c>
      <x:c r="B1497" s="30" t="str">
        <x:v>east-africa-broad-draft-1</x:v>
      </x:c>
      <x:c r="C1497" s="30" t="n">
        <x:v>121324</x:v>
      </x:c>
      <x:c r="D1497" s="32" t="str">
        <x:v>Nile Tilapia</x:v>
      </x:c>
      <x:c r="E1497" s="32" t="str">
        <x:v>Oreochromis niloticus</x:v>
      </x:c>
      <x:c r="F1497" s="30" t="str">
        <x:v>common</x:v>
      </x:c>
      <x:c r="G1497" s="30" t="str">
        <x:v>standard</x:v>
      </x:c>
      <x:c r="H1497" s="30" t="str">
        <x:v>year-round</x:v>
      </x:c>
      <x:c r="I14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8">
      <x:c r="A1498" s="36" t="str">
        <x:v>east_africa</x:v>
      </x:c>
      <x:c r="B1498" s="30" t="str">
        <x:v>east-africa-broad-draft-1</x:v>
      </x:c>
      <x:c r="C1498" s="30" t="n">
        <x:v>49401</x:v>
      </x:c>
      <x:c r="D1498" s="32" t="str">
        <x:v>Scissortail Sergeant</x:v>
      </x:c>
      <x:c r="E1498" s="32" t="str">
        <x:v>Abudefduf sexfasciatus</x:v>
      </x:c>
      <x:c r="F1498" s="30" t="str">
        <x:v>common</x:v>
      </x:c>
      <x:c r="G1498" s="30" t="str">
        <x:v>standard</x:v>
      </x:c>
      <x:c r="H1498" s="30" t="str">
        <x:v>year-round</x:v>
      </x:c>
      <x:c r="I14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499">
      <x:c r="A1499" s="36" t="str">
        <x:v>east_africa</x:v>
      </x:c>
      <x:c r="B1499" s="30" t="str">
        <x:v>east-africa-broad-draft-1</x:v>
      </x:c>
      <x:c r="C1499" s="30" t="n">
        <x:v>49403</x:v>
      </x:c>
      <x:c r="D1499" s="32" t="str">
        <x:v>Indo-Pacific Sergeant Major</x:v>
      </x:c>
      <x:c r="E1499" s="32" t="str">
        <x:v>Abudefduf vaigiensis</x:v>
      </x:c>
      <x:c r="F1499" s="30" t="str">
        <x:v>common</x:v>
      </x:c>
      <x:c r="G1499" s="30" t="str">
        <x:v>standard</x:v>
      </x:c>
      <x:c r="H1499" s="30" t="str">
        <x:v>year-round</x:v>
      </x:c>
      <x:c r="I14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0">
      <x:c r="A1500" s="36" t="str">
        <x:v>east_africa</x:v>
      </x:c>
      <x:c r="B1500" s="30" t="str">
        <x:v>east-africa-broad-draft-1</x:v>
      </x:c>
      <x:c r="C1500" s="30" t="n">
        <x:v>121375</x:v>
      </x:c>
      <x:c r="D1500" s="32" t="str">
        <x:v>Leaf Scorpionfish</x:v>
      </x:c>
      <x:c r="E1500" s="32" t="str">
        <x:v>Taenianotus triacanthus</x:v>
      </x:c>
      <x:c r="F1500" s="30" t="str">
        <x:v>common</x:v>
      </x:c>
      <x:c r="G1500" s="30" t="str">
        <x:v>standard</x:v>
      </x:c>
      <x:c r="H1500" s="30" t="str">
        <x:v>year-round</x:v>
      </x:c>
      <x:c r="I15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1">
      <x:c r="A1501" s="36" t="str">
        <x:v>east_africa</x:v>
      </x:c>
      <x:c r="B1501" s="30" t="str">
        <x:v>east-africa-broad-draft-1</x:v>
      </x:c>
      <x:c r="C1501" s="30" t="n">
        <x:v>113976</x:v>
      </x:c>
      <x:c r="D1501" s="32" t="str">
        <x:v>Goldbar Wrasse</x:v>
      </x:c>
      <x:c r="E1501" s="32" t="str">
        <x:v>Thalassoma hebraicum</x:v>
      </x:c>
      <x:c r="F1501" s="30" t="str">
        <x:v>common</x:v>
      </x:c>
      <x:c r="G1501" s="30" t="str">
        <x:v>standard</x:v>
      </x:c>
      <x:c r="H1501" s="30" t="str">
        <x:v>year-round</x:v>
      </x:c>
      <x:c r="I15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2">
      <x:c r="A1502" s="36" t="str">
        <x:v>east_africa</x:v>
      </x:c>
      <x:c r="B1502" s="30" t="str">
        <x:v>east-africa-broad-draft-1</x:v>
      </x:c>
      <x:c r="C1502" s="30" t="n">
        <x:v>48744</x:v>
      </x:c>
      <x:c r="D1502" s="32" t="str">
        <x:v>Indian Redfin Butterflyfish</x:v>
      </x:c>
      <x:c r="E1502" s="32" t="str">
        <x:v>Chaetodon trifasciatus</x:v>
      </x:c>
      <x:c r="F1502" s="30" t="str">
        <x:v>common</x:v>
      </x:c>
      <x:c r="G1502" s="30" t="str">
        <x:v>standard</x:v>
      </x:c>
      <x:c r="H1502" s="30" t="str">
        <x:v>year-round</x:v>
      </x:c>
      <x:c r="I15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3">
      <x:c r="A1503" s="36" t="str">
        <x:v>east_africa</x:v>
      </x:c>
      <x:c r="B1503" s="30" t="str">
        <x:v>east-africa-broad-draft-1</x:v>
      </x:c>
      <x:c r="C1503" s="30" t="n">
        <x:v>129549</x:v>
      </x:c>
      <x:c r="D1503" s="32" t="str">
        <x:v>Blacksaddle Toby</x:v>
      </x:c>
      <x:c r="E1503" s="32" t="str">
        <x:v>Canthigaster valentini</x:v>
      </x:c>
      <x:c r="F1503" s="30" t="str">
        <x:v>common</x:v>
      </x:c>
      <x:c r="G1503" s="30" t="str">
        <x:v>standard</x:v>
      </x:c>
      <x:c r="H1503" s="30" t="str">
        <x:v>year-round</x:v>
      </x:c>
      <x:c r="I15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4">
      <x:c r="A1504" s="36" t="str">
        <x:v>east_africa</x:v>
      </x:c>
      <x:c r="B1504" s="30" t="str">
        <x:v>east-africa-broad-draft-1</x:v>
      </x:c>
      <x:c r="C1504" s="30" t="n">
        <x:v>83290</x:v>
      </x:c>
      <x:c r="D1504" s="32" t="str">
        <x:v>Moorish Idol</x:v>
      </x:c>
      <x:c r="E1504" s="32" t="str">
        <x:v>Zanclus cornutus</x:v>
      </x:c>
      <x:c r="F1504" s="30" t="str">
        <x:v>common</x:v>
      </x:c>
      <x:c r="G1504" s="30" t="str">
        <x:v>standard</x:v>
      </x:c>
      <x:c r="H1504" s="30" t="str">
        <x:v>year-round</x:v>
      </x:c>
      <x:c r="I15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5">
      <x:c r="A1505" s="36" t="str">
        <x:v>east_africa</x:v>
      </x:c>
      <x:c r="B1505" s="30" t="str">
        <x:v>east-africa-broad-draft-1</x:v>
      </x:c>
      <x:c r="C1505" s="30" t="n">
        <x:v>123269</x:v>
      </x:c>
      <x:c r="D1505" s="32" t="str">
        <x:v>Powder Blue Tang</x:v>
      </x:c>
      <x:c r="E1505" s="32" t="str">
        <x:v>Acanthurus leucosternon</x:v>
      </x:c>
      <x:c r="F1505" s="30" t="str">
        <x:v>common</x:v>
      </x:c>
      <x:c r="G1505" s="30" t="str">
        <x:v>standard</x:v>
      </x:c>
      <x:c r="H1505" s="30" t="str">
        <x:v>year-round</x:v>
      </x:c>
      <x:c r="I15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6">
      <x:c r="A1506" s="36" t="str">
        <x:v>east_africa</x:v>
      </x:c>
      <x:c r="B1506" s="30" t="str">
        <x:v>east-africa-broad-draft-1</x:v>
      </x:c>
      <x:c r="C1506" s="30" t="n">
        <x:v>338765</x:v>
      </x:c>
      <x:c r="D1506" s="32" t="str">
        <x:v>Blackspotted Rubberlip</x:v>
      </x:c>
      <x:c r="E1506" s="32" t="str">
        <x:v>Plectorhinchus gaterinus</x:v>
      </x:c>
      <x:c r="F1506" s="30" t="str">
        <x:v>common</x:v>
      </x:c>
      <x:c r="G1506" s="30" t="str">
        <x:v>standard</x:v>
      </x:c>
      <x:c r="H1506" s="30" t="str">
        <x:v>year-round</x:v>
      </x:c>
      <x:c r="I15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7">
      <x:c r="A1507" s="36" t="str">
        <x:v>east_africa</x:v>
      </x:c>
      <x:c r="B1507" s="30" t="str">
        <x:v>east-africa-broad-draft-1</x:v>
      </x:c>
      <x:c r="C1507" s="30" t="n">
        <x:v>103901</x:v>
      </x:c>
      <x:c r="D1507" s="32" t="str">
        <x:v>Bluestreak Cleaner Wrasse</x:v>
      </x:c>
      <x:c r="E1507" s="32" t="str">
        <x:v>Labroides dimidiatus</x:v>
      </x:c>
      <x:c r="F1507" s="30" t="str">
        <x:v>common</x:v>
      </x:c>
      <x:c r="G1507" s="30" t="str">
        <x:v>standard</x:v>
      </x:c>
      <x:c r="H1507" s="30" t="str">
        <x:v>year-round</x:v>
      </x:c>
      <x:c r="I15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8">
      <x:c r="A1508" s="36" t="str">
        <x:v>east_africa</x:v>
      </x:c>
      <x:c r="B1508" s="30" t="str">
        <x:v>east-africa-broad-draft-1</x:v>
      </x:c>
      <x:c r="C1508" s="30" t="n">
        <x:v>154702</x:v>
      </x:c>
      <x:c r="D1508" s="32" t="str">
        <x:v>Skunk Anemonefish</x:v>
      </x:c>
      <x:c r="E1508" s="32" t="str">
        <x:v>Amphiprion akallopisos</x:v>
      </x:c>
      <x:c r="F1508" s="30" t="str">
        <x:v>common</x:v>
      </x:c>
      <x:c r="G1508" s="30" t="str">
        <x:v>standard</x:v>
      </x:c>
      <x:c r="H1508" s="30" t="str">
        <x:v>year-round</x:v>
      </x:c>
      <x:c r="I15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09">
      <x:c r="A1509" s="36" t="str">
        <x:v>east_africa</x:v>
      </x:c>
      <x:c r="B1509" s="30" t="str">
        <x:v>east-africa-broad-draft-1</x:v>
      </x:c>
      <x:c r="C1509" s="30" t="n">
        <x:v>47239</x:v>
      </x:c>
      <x:c r="D1509" s="32" t="str">
        <x:v>Pacific Trumpetfish</x:v>
      </x:c>
      <x:c r="E1509" s="32" t="str">
        <x:v>Aulostomus chinensis</x:v>
      </x:c>
      <x:c r="F1509" s="30" t="str">
        <x:v>common</x:v>
      </x:c>
      <x:c r="G1509" s="30" t="str">
        <x:v>standard</x:v>
      </x:c>
      <x:c r="H1509" s="30" t="str">
        <x:v>year-round</x:v>
      </x:c>
      <x:c r="I15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0">
      <x:c r="A1510" s="36" t="str">
        <x:v>east_africa</x:v>
      </x:c>
      <x:c r="B1510" s="30" t="str">
        <x:v>east-africa-broad-draft-1</x:v>
      </x:c>
      <x:c r="C1510" s="30" t="n">
        <x:v>127538</x:v>
      </x:c>
      <x:c r="D1510" s="32" t="str">
        <x:v>Geometric Moray</x:v>
      </x:c>
      <x:c r="E1510" s="32" t="str">
        <x:v>Gymnothorax griseus</x:v>
      </x:c>
      <x:c r="F1510" s="30" t="str">
        <x:v>common</x:v>
      </x:c>
      <x:c r="G1510" s="30" t="str">
        <x:v>standard</x:v>
      </x:c>
      <x:c r="H1510" s="30" t="str">
        <x:v>year-round</x:v>
      </x:c>
      <x:c r="I15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1">
      <x:c r="A1511" s="36" t="str">
        <x:v>east_africa</x:v>
      </x:c>
      <x:c r="B1511" s="30" t="str">
        <x:v>east-africa-broad-draft-1</x:v>
      </x:c>
      <x:c r="C1511" s="30" t="n">
        <x:v>102045</x:v>
      </x:c>
      <x:c r="D1511" s="32" t="str">
        <x:v>Checkerboard Wrasse</x:v>
      </x:c>
      <x:c r="E1511" s="32" t="str">
        <x:v>Halichoeres hortulanus</x:v>
      </x:c>
      <x:c r="F1511" s="30" t="str">
        <x:v>common</x:v>
      </x:c>
      <x:c r="G1511" s="30" t="str">
        <x:v>standard</x:v>
      </x:c>
      <x:c r="H1511" s="30" t="str">
        <x:v>year-round</x:v>
      </x:c>
      <x:c r="I15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2">
      <x:c r="A1512" s="36" t="str">
        <x:v>east_africa</x:v>
      </x:c>
      <x:c r="B1512" s="30" t="str">
        <x:v>east-africa-broad-draft-1</x:v>
      </x:c>
      <x:c r="C1512" s="30" t="n">
        <x:v>196837</x:v>
      </x:c>
      <x:c r="D1512" s="32" t="str">
        <x:v>Longbarbel Goatfish</x:v>
      </x:c>
      <x:c r="E1512" s="32" t="str">
        <x:v>Parupeneus macronemus</x:v>
      </x:c>
      <x:c r="F1512" s="30" t="str">
        <x:v>common</x:v>
      </x:c>
      <x:c r="G1512" s="30" t="str">
        <x:v>standard</x:v>
      </x:c>
      <x:c r="H1512" s="30" t="str">
        <x:v>year-round</x:v>
      </x:c>
      <x:c r="I15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3">
      <x:c r="A1513" s="36" t="str">
        <x:v>east_africa</x:v>
      </x:c>
      <x:c r="B1513" s="30" t="str">
        <x:v>east-africa-broad-draft-1</x:v>
      </x:c>
      <x:c r="C1513" s="30" t="n">
        <x:v>68028</x:v>
      </x:c>
      <x:c r="D1513" s="32" t="str">
        <x:v>Indian Bullethead Parrotfish</x:v>
      </x:c>
      <x:c r="E1513" s="32" t="str">
        <x:v>Chlorurus sordidus</x:v>
      </x:c>
      <x:c r="F1513" s="30" t="str">
        <x:v>common</x:v>
      </x:c>
      <x:c r="G1513" s="30" t="str">
        <x:v>standard</x:v>
      </x:c>
      <x:c r="H1513" s="30" t="str">
        <x:v>year-round</x:v>
      </x:c>
      <x:c r="I15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4">
      <x:c r="A1514" s="36" t="str">
        <x:v>east_africa</x:v>
      </x:c>
      <x:c r="B1514" s="30" t="str">
        <x:v>east-africa-broad-draft-1</x:v>
      </x:c>
      <x:c r="C1514" s="30" t="n">
        <x:v>52457</x:v>
      </x:c>
      <x:c r="D1514" s="32" t="str">
        <x:v>Threadfin Butterflyfish</x:v>
      </x:c>
      <x:c r="E1514" s="32" t="str">
        <x:v>Chaetodon auriga</x:v>
      </x:c>
      <x:c r="F1514" s="30" t="str">
        <x:v>common</x:v>
      </x:c>
      <x:c r="G1514" s="30" t="str">
        <x:v>standard</x:v>
      </x:c>
      <x:c r="H1514" s="30" t="str">
        <x:v>year-round</x:v>
      </x:c>
      <x:c r="I15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5">
      <x:c r="A1515" s="36" t="str">
        <x:v>east_africa</x:v>
      </x:c>
      <x:c r="B1515" s="30" t="str">
        <x:v>east-africa-broad-draft-1</x:v>
      </x:c>
      <x:c r="C1515" s="30" t="n">
        <x:v>67963</x:v>
      </x:c>
      <x:c r="D1515" s="32" t="str">
        <x:v>Sixbar Wrasse</x:v>
      </x:c>
      <x:c r="E1515" s="32" t="str">
        <x:v>Thalassoma hardwicke</x:v>
      </x:c>
      <x:c r="F1515" s="30" t="str">
        <x:v>common</x:v>
      </x:c>
      <x:c r="G1515" s="30" t="str">
        <x:v>standard</x:v>
      </x:c>
      <x:c r="H1515" s="30" t="str">
        <x:v>year-round</x:v>
      </x:c>
      <x:c r="I15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6">
      <x:c r="A1516" s="36" t="str">
        <x:v>east_africa</x:v>
      </x:c>
      <x:c r="B1516" s="30" t="str">
        <x:v>east-africa-broad-draft-1</x:v>
      </x:c>
      <x:c r="C1516" s="30" t="n">
        <x:v>474803</x:v>
      </x:c>
      <x:c r="D1516" s="32" t="str">
        <x:v>False-eye Sergeant</x:v>
      </x:c>
      <x:c r="E1516" s="32" t="str">
        <x:v>Abudefduf sparoides</x:v>
      </x:c>
      <x:c r="F1516" s="30" t="str">
        <x:v>common</x:v>
      </x:c>
      <x:c r="G1516" s="30" t="str">
        <x:v>standard</x:v>
      </x:c>
      <x:c r="H1516" s="30" t="str">
        <x:v>year-round</x:v>
      </x:c>
      <x:c r="I15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7">
      <x:c r="A1517" s="36" t="str">
        <x:v>east_africa</x:v>
      </x:c>
      <x:c r="B1517" s="30" t="str">
        <x:v>east-africa-broad-draft-1</x:v>
      </x:c>
      <x:c r="C1517" s="30" t="n">
        <x:v>82779</x:v>
      </x:c>
      <x:c r="D1517" s="32" t="str">
        <x:v>Sharptooth Catfish</x:v>
      </x:c>
      <x:c r="E1517" s="32" t="str">
        <x:v>Clarias gariepinus</x:v>
      </x:c>
      <x:c r="F1517" s="30" t="str">
        <x:v>common</x:v>
      </x:c>
      <x:c r="G1517" s="30" t="str">
        <x:v>standard</x:v>
      </x:c>
      <x:c r="H1517" s="30" t="str">
        <x:v>year-round</x:v>
      </x:c>
      <x:c r="I15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8">
      <x:c r="A1518" s="36" t="str">
        <x:v>east_africa</x:v>
      </x:c>
      <x:c r="B1518" s="30" t="str">
        <x:v>east-africa-broad-draft-1</x:v>
      </x:c>
      <x:c r="C1518" s="30" t="n">
        <x:v>67658</x:v>
      </x:c>
      <x:c r="D1518" s="32" t="str">
        <x:v>Freckled Hawkfish</x:v>
      </x:c>
      <x:c r="E1518" s="32" t="str">
        <x:v>Paracirrhites forsteri</x:v>
      </x:c>
      <x:c r="F1518" s="30" t="str">
        <x:v>common</x:v>
      </x:c>
      <x:c r="G1518" s="30" t="str">
        <x:v>standard</x:v>
      </x:c>
      <x:c r="H1518" s="30" t="str">
        <x:v>year-round</x:v>
      </x:c>
      <x:c r="I15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19">
      <x:c r="A1519" s="36" t="str">
        <x:v>east_africa</x:v>
      </x:c>
      <x:c r="B1519" s="30" t="str">
        <x:v>east-africa-broad-draft-1</x:v>
      </x:c>
      <x:c r="C1519" s="30" t="n">
        <x:v>123268</x:v>
      </x:c>
      <x:c r="D1519" s="32" t="str">
        <x:v>Blackblotched Porcupinefish</x:v>
      </x:c>
      <x:c r="E1519" s="32" t="str">
        <x:v>Diodon liturosus</x:v>
      </x:c>
      <x:c r="F1519" s="30" t="str">
        <x:v>common</x:v>
      </x:c>
      <x:c r="G1519" s="30" t="str">
        <x:v>standard</x:v>
      </x:c>
      <x:c r="H1519" s="30" t="str">
        <x:v>year-round</x:v>
      </x:c>
      <x:c r="I15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0">
      <x:c r="A1520" s="36" t="str">
        <x:v>east_africa</x:v>
      </x:c>
      <x:c r="B1520" s="30" t="str">
        <x:v>east-africa-broad-draft-1</x:v>
      </x:c>
      <x:c r="C1520" s="30" t="n">
        <x:v>53567</x:v>
      </x:c>
      <x:c r="D1520" s="32" t="str">
        <x:v>Crown Squirrelfish</x:v>
      </x:c>
      <x:c r="E1520" s="32" t="str">
        <x:v>Sargocentron diadema</x:v>
      </x:c>
      <x:c r="F1520" s="30" t="str">
        <x:v>common</x:v>
      </x:c>
      <x:c r="G1520" s="30" t="str">
        <x:v>standard</x:v>
      </x:c>
      <x:c r="H1520" s="30" t="str">
        <x:v>year-round</x:v>
      </x:c>
      <x:c r="I15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1">
      <x:c r="A1521" s="36" t="str">
        <x:v>east_africa</x:v>
      </x:c>
      <x:c r="B1521" s="30" t="str">
        <x:v>east-africa-broad-draft-1</x:v>
      </x:c>
      <x:c r="C1521" s="30" t="n">
        <x:v>152996</x:v>
      </x:c>
      <x:c r="D1521" s="32" t="str">
        <x:v>Painted Frogfish</x:v>
      </x:c>
      <x:c r="E1521" s="32" t="str">
        <x:v>Antennarius pictus</x:v>
      </x:c>
      <x:c r="F1521" s="30" t="str">
        <x:v>common</x:v>
      </x:c>
      <x:c r="G1521" s="30" t="str">
        <x:v>standard</x:v>
      </x:c>
      <x:c r="H1521" s="30" t="str">
        <x:v>year-round</x:v>
      </x:c>
      <x:c r="I15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2">
      <x:c r="A1522" s="36" t="str">
        <x:v>east_africa</x:v>
      </x:c>
      <x:c r="B1522" s="30" t="str">
        <x:v>east-africa-broad-draft-1</x:v>
      </x:c>
      <x:c r="C1522" s="30" t="n">
        <x:v>354111</x:v>
      </x:c>
      <x:c r="D1522" s="32" t="str">
        <x:v>Arabian Monocle Bream</x:v>
      </x:c>
      <x:c r="E1522" s="32" t="str">
        <x:v>Scolopsis ghanam</x:v>
      </x:c>
      <x:c r="F1522" s="30" t="str">
        <x:v>common</x:v>
      </x:c>
      <x:c r="G1522" s="30" t="str">
        <x:v>standard</x:v>
      </x:c>
      <x:c r="H1522" s="30" t="str">
        <x:v>year-round</x:v>
      </x:c>
      <x:c r="I15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3">
      <x:c r="A1523" s="36" t="str">
        <x:v>east_africa</x:v>
      </x:c>
      <x:c r="B1523" s="30" t="str">
        <x:v>east-africa-broad-draft-1</x:v>
      </x:c>
      <x:c r="C1523" s="30" t="n">
        <x:v>52509</x:v>
      </x:c>
      <x:c r="D1523" s="32" t="str">
        <x:v>Green Bird Wrasse</x:v>
      </x:c>
      <x:c r="E1523" s="32" t="str">
        <x:v>Gomphosus caeruleus</x:v>
      </x:c>
      <x:c r="F1523" s="30" t="str">
        <x:v>common</x:v>
      </x:c>
      <x:c r="G1523" s="30" t="str">
        <x:v>standard</x:v>
      </x:c>
      <x:c r="H1523" s="30" t="str">
        <x:v>year-round</x:v>
      </x:c>
      <x:c r="I15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4">
      <x:c r="A1524" s="36" t="str">
        <x:v>east_africa</x:v>
      </x:c>
      <x:c r="B1524" s="30" t="str">
        <x:v>east-africa-broad-draft-1</x:v>
      </x:c>
      <x:c r="C1524" s="30" t="n">
        <x:v>69859</x:v>
      </x:c>
      <x:c r="D1524" s="32" t="str">
        <x:v>Longfin Batfish</x:v>
      </x:c>
      <x:c r="E1524" s="32" t="str">
        <x:v>Platax teira</x:v>
      </x:c>
      <x:c r="F1524" s="30" t="str">
        <x:v>common</x:v>
      </x:c>
      <x:c r="G1524" s="30" t="str">
        <x:v>standard</x:v>
      </x:c>
      <x:c r="H1524" s="30" t="str">
        <x:v>year-round</x:v>
      </x:c>
      <x:c r="I15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5">
      <x:c r="A1525" s="36" t="str">
        <x:v>east_africa</x:v>
      </x:c>
      <x:c r="B1525" s="30" t="str">
        <x:v>east-africa-broad-draft-1</x:v>
      </x:c>
      <x:c r="C1525" s="30" t="n">
        <x:v>201024</x:v>
      </x:c>
      <x:c r="D1525" s="32" t="str">
        <x:v>Thumbprint Emperor</x:v>
      </x:c>
      <x:c r="E1525" s="32" t="str">
        <x:v>Lethrinus harak</x:v>
      </x:c>
      <x:c r="F1525" s="30" t="str">
        <x:v>common</x:v>
      </x:c>
      <x:c r="G1525" s="30" t="str">
        <x:v>standard</x:v>
      </x:c>
      <x:c r="H1525" s="30" t="str">
        <x:v>year-round</x:v>
      </x:c>
      <x:c r="I15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6">
      <x:c r="A1526" s="36" t="str">
        <x:v>east_africa</x:v>
      </x:c>
      <x:c r="B1526" s="30" t="str">
        <x:v>east-africa-broad-draft-1</x:v>
      </x:c>
      <x:c r="C1526" s="30" t="n">
        <x:v>54441</x:v>
      </x:c>
      <x:c r="D1526" s="32" t="str">
        <x:v>Snowflake Moray</x:v>
      </x:c>
      <x:c r="E1526" s="32" t="str">
        <x:v>Echidna nebulosa</x:v>
      </x:c>
      <x:c r="F1526" s="30" t="str">
        <x:v>common</x:v>
      </x:c>
      <x:c r="G1526" s="30" t="str">
        <x:v>standard</x:v>
      </x:c>
      <x:c r="H1526" s="30" t="str">
        <x:v>year-round</x:v>
      </x:c>
      <x:c r="I15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7">
      <x:c r="A1527" s="36" t="str">
        <x:v>east_africa</x:v>
      </x:c>
      <x:c r="B1527" s="30" t="str">
        <x:v>east-africa-broad-draft-1</x:v>
      </x:c>
      <x:c r="C1527" s="30" t="n">
        <x:v>144017</x:v>
      </x:c>
      <x:c r="D1527" s="32" t="str">
        <x:v>White-spotted Puffer</x:v>
      </x:c>
      <x:c r="E1527" s="32" t="str">
        <x:v>Arothron hispidus</x:v>
      </x:c>
      <x:c r="F1527" s="30" t="str">
        <x:v>common</x:v>
      </x:c>
      <x:c r="G1527" s="30" t="str">
        <x:v>standard</x:v>
      </x:c>
      <x:c r="H1527" s="30" t="str">
        <x:v>year-round</x:v>
      </x:c>
      <x:c r="I15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8">
      <x:c r="A1528" s="36" t="str">
        <x:v>east_africa</x:v>
      </x:c>
      <x:c r="B1528" s="30" t="str">
        <x:v>east-africa-broad-draft-1</x:v>
      </x:c>
      <x:c r="C1528" s="30" t="n">
        <x:v>49922</x:v>
      </x:c>
      <x:c r="D1528" s="32" t="str">
        <x:v>Dusky Gregory</x:v>
      </x:c>
      <x:c r="E1528" s="32" t="str">
        <x:v>Stegastes nigricans</x:v>
      </x:c>
      <x:c r="F1528" s="30" t="str">
        <x:v>common</x:v>
      </x:c>
      <x:c r="G1528" s="30" t="str">
        <x:v>standard</x:v>
      </x:c>
      <x:c r="H1528" s="30" t="str">
        <x:v>year-round</x:v>
      </x:c>
      <x:c r="I15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29">
      <x:c r="A1529" s="36" t="str">
        <x:v>east_africa</x:v>
      </x:c>
      <x:c r="B1529" s="30" t="str">
        <x:v>east-africa-broad-draft-1</x:v>
      </x:c>
      <x:c r="C1529" s="30" t="n">
        <x:v>84175</x:v>
      </x:c>
      <x:c r="D1529" s="32" t="str">
        <x:v>Blue-barred Parrotfish</x:v>
      </x:c>
      <x:c r="E1529" s="32" t="str">
        <x:v>Scarus ghobban</x:v>
      </x:c>
      <x:c r="F1529" s="30" t="str">
        <x:v>common</x:v>
      </x:c>
      <x:c r="G1529" s="30" t="str">
        <x:v>standard</x:v>
      </x:c>
      <x:c r="H1529" s="30" t="str">
        <x:v>year-round</x:v>
      </x:c>
      <x:c r="I15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0">
      <x:c r="A1530" s="36" t="str">
        <x:v>east_africa</x:v>
      </x:c>
      <x:c r="B1530" s="30" t="str">
        <x:v>east-africa-broad-draft-1</x:v>
      </x:c>
      <x:c r="C1530" s="30" t="n">
        <x:v>47316</x:v>
      </x:c>
      <x:c r="D1530" s="32" t="str">
        <x:v>Raccoon Butterflyfish</x:v>
      </x:c>
      <x:c r="E1530" s="32" t="str">
        <x:v>Chaetodon lunula</x:v>
      </x:c>
      <x:c r="F1530" s="30" t="str">
        <x:v>common</x:v>
      </x:c>
      <x:c r="G1530" s="30" t="str">
        <x:v>standard</x:v>
      </x:c>
      <x:c r="H1530" s="30" t="str">
        <x:v>year-round</x:v>
      </x:c>
      <x:c r="I15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1">
      <x:c r="A1531" s="36" t="str">
        <x:v>east_africa</x:v>
      </x:c>
      <x:c r="B1531" s="30" t="str">
        <x:v>east-africa-broad-draft-1</x:v>
      </x:c>
      <x:c r="C1531" s="30" t="n">
        <x:v>1325088</x:v>
      </x:c>
      <x:c r="D1531" s="32" t="str">
        <x:v>Jewel Damsel</x:v>
      </x:c>
      <x:c r="E1531" s="32" t="str">
        <x:v>Stegastes lacrymatus</x:v>
      </x:c>
      <x:c r="F1531" s="30" t="str">
        <x:v>common</x:v>
      </x:c>
      <x:c r="G1531" s="30" t="str">
        <x:v>standard</x:v>
      </x:c>
      <x:c r="H1531" s="30" t="str">
        <x:v>year-round</x:v>
      </x:c>
      <x:c r="I15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2">
      <x:c r="A1532" s="36" t="str">
        <x:v>east_africa</x:v>
      </x:c>
      <x:c r="B1532" s="30" t="str">
        <x:v>east-africa-broad-draft-1</x:v>
      </x:c>
      <x:c r="C1532" s="30" t="n">
        <x:v>179873</x:v>
      </x:c>
      <x:c r="D1532" s="32" t="str">
        <x:v>Indian Dascyllus</x:v>
      </x:c>
      <x:c r="E1532" s="32" t="str">
        <x:v>Dascyllus carneus</x:v>
      </x:c>
      <x:c r="F1532" s="30" t="str">
        <x:v>common</x:v>
      </x:c>
      <x:c r="G1532" s="30" t="str">
        <x:v>standard</x:v>
      </x:c>
      <x:c r="H1532" s="30" t="str">
        <x:v>year-round</x:v>
      </x:c>
      <x:c r="I15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3">
      <x:c r="A1533" s="36" t="str">
        <x:v>east_africa</x:v>
      </x:c>
      <x:c r="B1533" s="30" t="str">
        <x:v>east-africa-broad-draft-1</x:v>
      </x:c>
      <x:c r="C1533" s="30" t="n">
        <x:v>121321</x:v>
      </x:c>
      <x:c r="D1533" s="32" t="str">
        <x:v>Giant Frogfish</x:v>
      </x:c>
      <x:c r="E1533" s="32" t="str">
        <x:v>Antennarius commerson</x:v>
      </x:c>
      <x:c r="F1533" s="30" t="str">
        <x:v>common</x:v>
      </x:c>
      <x:c r="G1533" s="30" t="str">
        <x:v>standard</x:v>
      </x:c>
      <x:c r="H1533" s="30" t="str">
        <x:v>year-round</x:v>
      </x:c>
      <x:c r="I15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4">
      <x:c r="A1534" s="36" t="str">
        <x:v>east_africa</x:v>
      </x:c>
      <x:c r="B1534" s="30" t="str">
        <x:v>east-africa-broad-draft-1</x:v>
      </x:c>
      <x:c r="C1534" s="30" t="n">
        <x:v>84116</x:v>
      </x:c>
      <x:c r="D1534" s="32" t="str">
        <x:v>Crescent-tail Bigeye</x:v>
      </x:c>
      <x:c r="E1534" s="32" t="str">
        <x:v>Priacanthus hamrur</x:v>
      </x:c>
      <x:c r="F1534" s="30" t="str">
        <x:v>common</x:v>
      </x:c>
      <x:c r="G1534" s="30" t="str">
        <x:v>standard</x:v>
      </x:c>
      <x:c r="H1534" s="30" t="str">
        <x:v>year-round</x:v>
      </x:c>
      <x:c r="I15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5">
      <x:c r="A1535" s="36" t="str">
        <x:v>east_africa</x:v>
      </x:c>
      <x:c r="B1535" s="30" t="str">
        <x:v>east-africa-broad-draft-1</x:v>
      </x:c>
      <x:c r="C1535" s="30" t="n">
        <x:v>49378</x:v>
      </x:c>
      <x:c r="D1535" s="32" t="str">
        <x:v>Yellow Boxfish</x:v>
      </x:c>
      <x:c r="E1535" s="32" t="str">
        <x:v>Ostracion cubicum</x:v>
      </x:c>
      <x:c r="F1535" s="30" t="str">
        <x:v>common</x:v>
      </x:c>
      <x:c r="G1535" s="30" t="str">
        <x:v>standard</x:v>
      </x:c>
      <x:c r="H1535" s="30" t="str">
        <x:v>year-round</x:v>
      </x:c>
      <x:c r="I15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6">
      <x:c r="A1536" s="36" t="str">
        <x:v>east_africa</x:v>
      </x:c>
      <x:c r="B1536" s="30" t="str">
        <x:v>east-africa-broad-draft-1</x:v>
      </x:c>
      <x:c r="C1536" s="30" t="n">
        <x:v>84181</x:v>
      </x:c>
      <x:c r="D1536" s="32" t="str">
        <x:v>Emperor Angelfish</x:v>
      </x:c>
      <x:c r="E1536" s="32" t="str">
        <x:v>Pomacanthus imperator</x:v>
      </x:c>
      <x:c r="F1536" s="30" t="str">
        <x:v>common</x:v>
      </x:c>
      <x:c r="G1536" s="30" t="str">
        <x:v>standard</x:v>
      </x:c>
      <x:c r="H1536" s="30" t="str">
        <x:v>year-round</x:v>
      </x:c>
      <x:c r="I15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7">
      <x:c r="A1537" s="36" t="str">
        <x:v>east_africa</x:v>
      </x:c>
      <x:c r="B1537" s="30" t="str">
        <x:v>east-africa-broad-draft-1</x:v>
      </x:c>
      <x:c r="C1537" s="30" t="n">
        <x:v>113980</x:v>
      </x:c>
      <x:c r="D1537" s="32" t="str">
        <x:v>Moon Wrasse</x:v>
      </x:c>
      <x:c r="E1537" s="32" t="str">
        <x:v>Thalassoma lunare</x:v>
      </x:c>
      <x:c r="F1537" s="30" t="str">
        <x:v>common</x:v>
      </x:c>
      <x:c r="G1537" s="30" t="str">
        <x:v>standard</x:v>
      </x:c>
      <x:c r="H1537" s="30" t="str">
        <x:v>year-round</x:v>
      </x:c>
      <x:c r="I15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8">
      <x:c r="A1538" s="36" t="str">
        <x:v>east_africa</x:v>
      </x:c>
      <x:c r="B1538" s="30" t="str">
        <x:v>east-africa-broad-draft-1</x:v>
      </x:c>
      <x:c r="C1538" s="30" t="n">
        <x:v>1314828</x:v>
      </x:c>
      <x:c r="D1538" s="32" t="str">
        <x:v>Indian Half-and-half Chromis</x:v>
      </x:c>
      <x:c r="E1538" s="32" t="str">
        <x:v>Pycnochromis fieldi</x:v>
      </x:c>
      <x:c r="F1538" s="30" t="str">
        <x:v>common</x:v>
      </x:c>
      <x:c r="G1538" s="30" t="str">
        <x:v>standard</x:v>
      </x:c>
      <x:c r="H1538" s="30" t="str">
        <x:v>year-round</x:v>
      </x:c>
      <x:c r="I15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39">
      <x:c r="A1539" s="36" t="str">
        <x:v>east_africa</x:v>
      </x:c>
      <x:c r="B1539" s="30" t="str">
        <x:v>east-africa-broad-draft-1</x:v>
      </x:c>
      <x:c r="C1539" s="30" t="n">
        <x:v>143046</x:v>
      </x:c>
      <x:c r="D1539" s="32" t="str">
        <x:v>Robust Ghostpipefish</x:v>
      </x:c>
      <x:c r="E1539" s="32" t="str">
        <x:v>Solenostomus cyanopterus</x:v>
      </x:c>
      <x:c r="F1539" s="30" t="str">
        <x:v>common</x:v>
      </x:c>
      <x:c r="G1539" s="30" t="str">
        <x:v>standard</x:v>
      </x:c>
      <x:c r="H1539" s="30" t="str">
        <x:v>year-round</x:v>
      </x:c>
      <x:c r="I15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0">
      <x:c r="A1540" s="36" t="str">
        <x:v>east_africa</x:v>
      </x:c>
      <x:c r="B1540" s="30" t="str">
        <x:v>east-africa-broad-draft-1</x:v>
      </x:c>
      <x:c r="C1540" s="30" t="n">
        <x:v>123525</x:v>
      </x:c>
      <x:c r="D1540" s="32" t="str">
        <x:v>Peppered Moray</x:v>
      </x:c>
      <x:c r="E1540" s="32" t="str">
        <x:v>Gymnothorax pictus</x:v>
      </x:c>
      <x:c r="F1540" s="30" t="str">
        <x:v>common</x:v>
      </x:c>
      <x:c r="G1540" s="30" t="str">
        <x:v>standard</x:v>
      </x:c>
      <x:c r="H1540" s="30" t="str">
        <x:v>year-round</x:v>
      </x:c>
      <x:c r="I15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1">
      <x:c r="A1541" s="36" t="str">
        <x:v>east_africa</x:v>
      </x:c>
      <x:c r="B1541" s="30" t="str">
        <x:v>east-africa-broad-draft-1</x:v>
      </x:c>
      <x:c r="C1541" s="30" t="n">
        <x:v>98511</x:v>
      </x:c>
      <x:c r="D1541" s="32" t="str">
        <x:v>Queen Coris</x:v>
      </x:c>
      <x:c r="E1541" s="32" t="str">
        <x:v>Coris formosa</x:v>
      </x:c>
      <x:c r="F1541" s="30" t="str">
        <x:v>common</x:v>
      </x:c>
      <x:c r="G1541" s="30" t="str">
        <x:v>standard</x:v>
      </x:c>
      <x:c r="H1541" s="30" t="str">
        <x:v>year-round</x:v>
      </x:c>
      <x:c r="I15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2">
      <x:c r="A1542" s="36" t="str">
        <x:v>east_africa</x:v>
      </x:c>
      <x:c r="B1542" s="30" t="str">
        <x:v>east-africa-broad-draft-1</x:v>
      </x:c>
      <x:c r="C1542" s="30" t="n">
        <x:v>97167</x:v>
      </x:c>
      <x:c r="D1542" s="32" t="str">
        <x:v>Blacklip Butterflyfish</x:v>
      </x:c>
      <x:c r="E1542" s="32" t="str">
        <x:v>Chaetodon kleinii</x:v>
      </x:c>
      <x:c r="F1542" s="30" t="str">
        <x:v>common</x:v>
      </x:c>
      <x:c r="G1542" s="30" t="str">
        <x:v>standard</x:v>
      </x:c>
      <x:c r="H1542" s="30" t="str">
        <x:v>year-round</x:v>
      </x:c>
      <x:c r="I15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3">
      <x:c r="A1543" s="36" t="str">
        <x:v>east_africa</x:v>
      </x:c>
      <x:c r="B1543" s="30" t="str">
        <x:v>east-africa-broad-draft-1</x:v>
      </x:c>
      <x:c r="C1543" s="30" t="n">
        <x:v>187283</x:v>
      </x:c>
      <x:c r="D1543" s="32" t="str">
        <x:v>Indian Gold-ring Bristletooth</x:v>
      </x:c>
      <x:c r="E1543" s="32" t="str">
        <x:v>Ctenochaetus truncatus</x:v>
      </x:c>
      <x:c r="F1543" s="30" t="str">
        <x:v>common</x:v>
      </x:c>
      <x:c r="G1543" s="30" t="str">
        <x:v>standard</x:v>
      </x:c>
      <x:c r="H1543" s="30" t="str">
        <x:v>year-round</x:v>
      </x:c>
      <x:c r="I15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4">
      <x:c r="A1544" s="36" t="str">
        <x:v>east_africa</x:v>
      </x:c>
      <x:c r="B1544" s="30" t="str">
        <x:v>east-africa-broad-draft-1</x:v>
      </x:c>
      <x:c r="C1544" s="30" t="n">
        <x:v>127530</x:v>
      </x:c>
      <x:c r="D1544" s="32" t="str">
        <x:v>Lyretail Anthias</x:v>
      </x:c>
      <x:c r="E1544" s="32" t="str">
        <x:v>Pseudanthias squamipinnis</x:v>
      </x:c>
      <x:c r="F1544" s="30" t="str">
        <x:v>common</x:v>
      </x:c>
      <x:c r="G1544" s="30" t="str">
        <x:v>standard</x:v>
      </x:c>
      <x:c r="H1544" s="30" t="str">
        <x:v>year-round</x:v>
      </x:c>
      <x:c r="I15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5">
      <x:c r="A1545" s="36" t="str">
        <x:v>east_africa</x:v>
      </x:c>
      <x:c r="B1545" s="30" t="str">
        <x:v>east-africa-broad-draft-1</x:v>
      </x:c>
      <x:c r="C1545" s="30" t="n">
        <x:v>107885</x:v>
      </x:c>
      <x:c r="D1545" s="32" t="str">
        <x:v>Blue-spotted Tilapia</x:v>
      </x:c>
      <x:c r="E1545" s="32" t="str">
        <x:v>Oreochromis leucostictus</x:v>
      </x:c>
      <x:c r="F1545" s="30" t="str">
        <x:v>common</x:v>
      </x:c>
      <x:c r="G1545" s="30" t="str">
        <x:v>standard</x:v>
      </x:c>
      <x:c r="H1545" s="30" t="str">
        <x:v>year-round</x:v>
      </x:c>
      <x:c r="I15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6">
      <x:c r="A1546" s="36" t="str">
        <x:v>east_africa</x:v>
      </x:c>
      <x:c r="B1546" s="30" t="str">
        <x:v>east-africa-broad-draft-1</x:v>
      </x:c>
      <x:c r="C1546" s="30" t="n">
        <x:v>52456</x:v>
      </x:c>
      <x:c r="D1546" s="32" t="str">
        <x:v>Peacock Grouper</x:v>
      </x:c>
      <x:c r="E1546" s="32" t="str">
        <x:v>Cephalopholis argus</x:v>
      </x:c>
      <x:c r="F1546" s="30" t="str">
        <x:v>common</x:v>
      </x:c>
      <x:c r="G1546" s="30" t="str">
        <x:v>standard</x:v>
      </x:c>
      <x:c r="H1546" s="30" t="str">
        <x:v>year-round</x:v>
      </x:c>
      <x:c r="I15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7">
      <x:c r="A1547" s="36" t="str">
        <x:v>east_africa</x:v>
      </x:c>
      <x:c r="B1547" s="30" t="str">
        <x:v>east-africa-broad-draft-1</x:v>
      </x:c>
      <x:c r="C1547" s="30" t="n">
        <x:v>196574</x:v>
      </x:c>
      <x:c r="D1547" s="32" t="str">
        <x:v>Spotted Sandperch</x:v>
      </x:c>
      <x:c r="E1547" s="32" t="str">
        <x:v>Parapercis hexophtalma</x:v>
      </x:c>
      <x:c r="F1547" s="30" t="str">
        <x:v>common</x:v>
      </x:c>
      <x:c r="G1547" s="30" t="str">
        <x:v>standard</x:v>
      </x:c>
      <x:c r="H1547" s="30" t="str">
        <x:v>year-round</x:v>
      </x:c>
      <x:c r="I15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8">
      <x:c r="A1548" s="36" t="str">
        <x:v>east_africa</x:v>
      </x:c>
      <x:c r="B1548" s="30" t="str">
        <x:v>east-africa-broad-draft-1</x:v>
      </x:c>
      <x:c r="C1548" s="30" t="n">
        <x:v>118574</x:v>
      </x:c>
      <x:c r="D1548" s="32" t="str">
        <x:v>Bluestriped Snapper</x:v>
      </x:c>
      <x:c r="E1548" s="32" t="str">
        <x:v>Lutjanus kasmira</x:v>
      </x:c>
      <x:c r="F1548" s="30" t="str">
        <x:v>common</x:v>
      </x:c>
      <x:c r="G1548" s="30" t="str">
        <x:v>standard</x:v>
      </x:c>
      <x:c r="H1548" s="30" t="str">
        <x:v>year-round</x:v>
      </x:c>
      <x:c r="I15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49">
      <x:c r="A1549" s="36" t="str">
        <x:v>east_africa</x:v>
      </x:c>
      <x:c r="B1549" s="30" t="str">
        <x:v>east-africa-broad-draft-1</x:v>
      </x:c>
      <x:c r="C1549" s="30" t="n">
        <x:v>54679</x:v>
      </x:c>
      <x:c r="D1549" s="32" t="str">
        <x:v>Tiger Snake Eel</x:v>
      </x:c>
      <x:c r="E1549" s="32" t="str">
        <x:v>Myrichthys maculosus</x:v>
      </x:c>
      <x:c r="F1549" s="30" t="str">
        <x:v>common</x:v>
      </x:c>
      <x:c r="G1549" s="30" t="str">
        <x:v>standard</x:v>
      </x:c>
      <x:c r="H1549" s="30" t="str">
        <x:v>year-round</x:v>
      </x:c>
      <x:c r="I15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0">
      <x:c r="A1550" s="36" t="str">
        <x:v>east_africa</x:v>
      </x:c>
      <x:c r="B1550" s="30" t="str">
        <x:v>east-africa-broad-draft-1</x:v>
      </x:c>
      <x:c r="C1550" s="30" t="n">
        <x:v>59931</x:v>
      </x:c>
      <x:c r="D1550" s="32" t="str">
        <x:v>Convict Surgeonfish</x:v>
      </x:c>
      <x:c r="E1550" s="32" t="str">
        <x:v>Acanthurus triostegus</x:v>
      </x:c>
      <x:c r="F1550" s="30" t="str">
        <x:v>common</x:v>
      </x:c>
      <x:c r="G1550" s="30" t="str">
        <x:v>standard</x:v>
      </x:c>
      <x:c r="H1550" s="30" t="str">
        <x:v>year-round</x:v>
      </x:c>
      <x:c r="I15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1">
      <x:c r="A1551" s="36" t="str">
        <x:v>east_africa</x:v>
      </x:c>
      <x:c r="B1551" s="30" t="str">
        <x:v>east-africa-broad-draft-1</x:v>
      </x:c>
      <x:c r="C1551" s="30" t="n">
        <x:v>69858</x:v>
      </x:c>
      <x:c r="D1551" s="32" t="str">
        <x:v>Round Batfish</x:v>
      </x:c>
      <x:c r="E1551" s="32" t="str">
        <x:v>Platax orbicularis</x:v>
      </x:c>
      <x:c r="F1551" s="30" t="str">
        <x:v>common</x:v>
      </x:c>
      <x:c r="G1551" s="30" t="str">
        <x:v>standard</x:v>
      </x:c>
      <x:c r="H1551" s="30" t="str">
        <x:v>year-round</x:v>
      </x:c>
      <x:c r="I15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2">
      <x:c r="A1552" s="36" t="str">
        <x:v>east_africa</x:v>
      </x:c>
      <x:c r="B1552" s="30" t="str">
        <x:v>east-africa-broad-draft-1</x:v>
      </x:c>
      <x:c r="C1552" s="30" t="n">
        <x:v>204571</x:v>
      </x:c>
      <x:c r="D1552" s="32" t="str">
        <x:v>Blackspot Snapper</x:v>
      </x:c>
      <x:c r="E1552" s="32" t="str">
        <x:v>Lutjanus fulviflamma</x:v>
      </x:c>
      <x:c r="F1552" s="30" t="str">
        <x:v>common</x:v>
      </x:c>
      <x:c r="G1552" s="30" t="str">
        <x:v>standard</x:v>
      </x:c>
      <x:c r="H1552" s="30" t="str">
        <x:v>year-round</x:v>
      </x:c>
      <x:c r="I15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3">
      <x:c r="A1553" s="36" t="str">
        <x:v>east_africa</x:v>
      </x:c>
      <x:c r="B1553" s="30" t="str">
        <x:v>east-africa-broad-draft-1</x:v>
      </x:c>
      <x:c r="C1553" s="30" t="n">
        <x:v>57743</x:v>
      </x:c>
      <x:c r="D1553" s="32" t="str">
        <x:v>Orangestripe Triggerfish</x:v>
      </x:c>
      <x:c r="E1553" s="32" t="str">
        <x:v>Balistapus undulatus</x:v>
      </x:c>
      <x:c r="F1553" s="30" t="str">
        <x:v>common</x:v>
      </x:c>
      <x:c r="G1553" s="30" t="str">
        <x:v>standard</x:v>
      </x:c>
      <x:c r="H1553" s="30" t="str">
        <x:v>year-round</x:v>
      </x:c>
      <x:c r="I15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4">
      <x:c r="A1554" s="36" t="str">
        <x:v>east_africa</x:v>
      </x:c>
      <x:c r="B1554" s="30" t="str">
        <x:v>east-africa-broad-draft-1</x:v>
      </x:c>
      <x:c r="C1554" s="30" t="n">
        <x:v>199600</x:v>
      </x:c>
      <x:c r="D1554" s="32" t="str">
        <x:v>Thornback Cowfish</x:v>
      </x:c>
      <x:c r="E1554" s="32" t="str">
        <x:v>Lactoria fornasini</x:v>
      </x:c>
      <x:c r="F1554" s="30" t="str">
        <x:v>common</x:v>
      </x:c>
      <x:c r="G1554" s="30" t="str">
        <x:v>standard</x:v>
      </x:c>
      <x:c r="H1554" s="30" t="str">
        <x:v>year-round</x:v>
      </x:c>
      <x:c r="I15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5">
      <x:c r="A1555" s="36" t="str">
        <x:v>east_africa</x:v>
      </x:c>
      <x:c r="B1555" s="30" t="str">
        <x:v>east-africa-broad-draft-1</x:v>
      </x:c>
      <x:c r="C1555" s="30" t="n">
        <x:v>47527</x:v>
      </x:c>
      <x:c r="D1555" s="32" t="str">
        <x:v>Spotted Boxfish</x:v>
      </x:c>
      <x:c r="E1555" s="32" t="str">
        <x:v>Ostracion meleagris</x:v>
      </x:c>
      <x:c r="F1555" s="30" t="str">
        <x:v>common</x:v>
      </x:c>
      <x:c r="G1555" s="30" t="str">
        <x:v>standard</x:v>
      </x:c>
      <x:c r="H1555" s="30" t="str">
        <x:v>year-round</x:v>
      </x:c>
      <x:c r="I15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6">
      <x:c r="A1556" s="36" t="str">
        <x:v>east_africa</x:v>
      </x:c>
      <x:c r="B1556" s="30" t="str">
        <x:v>east-africa-broad-draft-1</x:v>
      </x:c>
      <x:c r="C1556" s="30" t="n">
        <x:v>119310</x:v>
      </x:c>
      <x:c r="D1556" s="32" t="str">
        <x:v>Sulfur Damsel</x:v>
      </x:c>
      <x:c r="E1556" s="32" t="str">
        <x:v>Pomacentrus sulfureus</x:v>
      </x:c>
      <x:c r="F1556" s="30" t="str">
        <x:v>common</x:v>
      </x:c>
      <x:c r="G1556" s="30" t="str">
        <x:v>standard</x:v>
      </x:c>
      <x:c r="H1556" s="30" t="str">
        <x:v>year-round</x:v>
      </x:c>
      <x:c r="I15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7">
      <x:c r="A1557" s="36" t="str">
        <x:v>east_africa</x:v>
      </x:c>
      <x:c r="B1557" s="30" t="str">
        <x:v>east-africa-broad-draft-1</x:v>
      </x:c>
      <x:c r="C1557" s="30" t="n">
        <x:v>49641</x:v>
      </x:c>
      <x:c r="D1557" s="32" t="str">
        <x:v>Brown Tang</x:v>
      </x:c>
      <x:c r="E1557" s="32" t="str">
        <x:v>Zebrasoma scopas</x:v>
      </x:c>
      <x:c r="F1557" s="30" t="str">
        <x:v>common</x:v>
      </x:c>
      <x:c r="G1557" s="30" t="str">
        <x:v>standard</x:v>
      </x:c>
      <x:c r="H1557" s="30" t="str">
        <x:v>year-round</x:v>
      </x:c>
      <x:c r="I15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8">
      <x:c r="A1558" s="36" t="str">
        <x:v>east_africa</x:v>
      </x:c>
      <x:c r="B1558" s="30" t="str">
        <x:v>east-africa-broad-draft-1</x:v>
      </x:c>
      <x:c r="C1558" s="30" t="n">
        <x:v>110019</x:v>
      </x:c>
      <x:c r="D1558" s="32" t="str">
        <x:v>Semicircle Angelfish</x:v>
      </x:c>
      <x:c r="E1558" s="32" t="str">
        <x:v>Pomacanthus semicirculatus</x:v>
      </x:c>
      <x:c r="F1558" s="30" t="str">
        <x:v>common</x:v>
      </x:c>
      <x:c r="G1558" s="30" t="str">
        <x:v>standard</x:v>
      </x:c>
      <x:c r="H1558" s="30" t="str">
        <x:v>year-round</x:v>
      </x:c>
      <x:c r="I15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59">
      <x:c r="A1559" s="36" t="str">
        <x:v>east_africa</x:v>
      </x:c>
      <x:c r="B1559" s="30" t="str">
        <x:v>east-africa-broad-draft-1</x:v>
      </x:c>
      <x:c r="C1559" s="30" t="n">
        <x:v>119385</x:v>
      </x:c>
      <x:c r="D1559" s="32" t="str">
        <x:v>Blackspotted Puffer</x:v>
      </x:c>
      <x:c r="E1559" s="32" t="str">
        <x:v>Arothron nigropunctatus</x:v>
      </x:c>
      <x:c r="F1559" s="30" t="str">
        <x:v>common</x:v>
      </x:c>
      <x:c r="G1559" s="30" t="str">
        <x:v>standard</x:v>
      </x:c>
      <x:c r="H1559" s="30" t="str">
        <x:v>year-round</x:v>
      </x:c>
      <x:c r="I15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0">
      <x:c r="A1560" s="36" t="str">
        <x:v>east_africa</x:v>
      </x:c>
      <x:c r="B1560" s="30" t="str">
        <x:v>east-africa-broad-draft-1</x:v>
      </x:c>
      <x:c r="C1560" s="30" t="n">
        <x:v>97311</x:v>
      </x:c>
      <x:c r="D1560" s="32" t="str">
        <x:v>Tripletail Maori Wrasse</x:v>
      </x:c>
      <x:c r="E1560" s="32" t="str">
        <x:v>Cheilinus trilobatus</x:v>
      </x:c>
      <x:c r="F1560" s="30" t="str">
        <x:v>common</x:v>
      </x:c>
      <x:c r="G1560" s="30" t="str">
        <x:v>standard</x:v>
      </x:c>
      <x:c r="H1560" s="30" t="str">
        <x:v>year-round</x:v>
      </x:c>
      <x:c r="I15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1">
      <x:c r="A1561" s="36" t="str">
        <x:v>east_africa</x:v>
      </x:c>
      <x:c r="B1561" s="30" t="str">
        <x:v>east-africa-broad-draft-1</x:v>
      </x:c>
      <x:c r="C1561" s="30" t="n">
        <x:v>914304</x:v>
      </x:c>
      <x:c r="D1561" s="32" t="str">
        <x:v>Indian Ocean Humbug</x:v>
      </x:c>
      <x:c r="E1561" s="32" t="str">
        <x:v>Dascyllus abudafur</x:v>
      </x:c>
      <x:c r="F1561" s="30" t="str">
        <x:v>common</x:v>
      </x:c>
      <x:c r="G1561" s="30" t="str">
        <x:v>standard</x:v>
      </x:c>
      <x:c r="H1561" s="30" t="str">
        <x:v>year-round</x:v>
      </x:c>
      <x:c r="I15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2">
      <x:c r="A1562" s="36" t="str">
        <x:v>east_africa</x:v>
      </x:c>
      <x:c r="B1562" s="30" t="str">
        <x:v>east-africa-broad-draft-1</x:v>
      </x:c>
      <x:c r="C1562" s="30" t="n">
        <x:v>102080</x:v>
      </x:c>
      <x:c r="D1562" s="32" t="str">
        <x:v>Zigzag Wrasse</x:v>
      </x:c>
      <x:c r="E1562" s="32" t="str">
        <x:v>Halichoeres scapularis</x:v>
      </x:c>
      <x:c r="F1562" s="30" t="str">
        <x:v>common</x:v>
      </x:c>
      <x:c r="G1562" s="30" t="str">
        <x:v>standard</x:v>
      </x:c>
      <x:c r="H1562" s="30" t="str">
        <x:v>year-round</x:v>
      </x:c>
      <x:c r="I15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3">
      <x:c r="A1563" s="36" t="str">
        <x:v>east_africa</x:v>
      </x:c>
      <x:c r="B1563" s="30" t="str">
        <x:v>east-africa-broad-draft-1</x:v>
      </x:c>
      <x:c r="C1563" s="30" t="n">
        <x:v>112145</x:v>
      </x:c>
      <x:c r="D1563" s="32" t="str">
        <x:v>Sixband Parrotfish</x:v>
      </x:c>
      <x:c r="E1563" s="32" t="str">
        <x:v>Scarus frenatus</x:v>
      </x:c>
      <x:c r="F1563" s="30" t="str">
        <x:v>common</x:v>
      </x:c>
      <x:c r="G1563" s="30" t="str">
        <x:v>standard</x:v>
      </x:c>
      <x:c r="H1563" s="30" t="str">
        <x:v>year-round</x:v>
      </x:c>
      <x:c r="I15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4">
      <x:c r="A1564" s="36" t="str">
        <x:v>east_africa</x:v>
      </x:c>
      <x:c r="B1564" s="30" t="str">
        <x:v>east-africa-broad-draft-1</x:v>
      </x:c>
      <x:c r="C1564" s="30" t="n">
        <x:v>123124</x:v>
      </x:c>
      <x:c r="D1564" s="32" t="str">
        <x:v>Variegated Lizardfish</x:v>
      </x:c>
      <x:c r="E1564" s="32" t="str">
        <x:v>Synodus variegatus</x:v>
      </x:c>
      <x:c r="F1564" s="30" t="str">
        <x:v>common</x:v>
      </x:c>
      <x:c r="G1564" s="30" t="str">
        <x:v>standard</x:v>
      </x:c>
      <x:c r="H1564" s="30" t="str">
        <x:v>year-round</x:v>
      </x:c>
      <x:c r="I15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5">
      <x:c r="A1565" s="36" t="str">
        <x:v>east_africa</x:v>
      </x:c>
      <x:c r="B1565" s="30" t="str">
        <x:v>east-africa-broad-draft-1</x:v>
      </x:c>
      <x:c r="C1565" s="30" t="n">
        <x:v>100099</x:v>
      </x:c>
      <x:c r="D1565" s="32" t="str">
        <x:v>Blacktip Grouper</x:v>
      </x:c>
      <x:c r="E1565" s="32" t="str">
        <x:v>Epinephelus fasciatus</x:v>
      </x:c>
      <x:c r="F1565" s="30" t="str">
        <x:v>common</x:v>
      </x:c>
      <x:c r="G1565" s="30" t="str">
        <x:v>standard</x:v>
      </x:c>
      <x:c r="H1565" s="30" t="str">
        <x:v>year-round</x:v>
      </x:c>
      <x:c r="I15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6">
      <x:c r="A1566" s="36" t="str">
        <x:v>east_africa</x:v>
      </x:c>
      <x:c r="B1566" s="30" t="str">
        <x:v>east-africa-broad-draft-1</x:v>
      </x:c>
      <x:c r="C1566" s="30" t="n">
        <x:v>173412</x:v>
      </x:c>
      <x:c r="D1566" s="32" t="str">
        <x:v>Guppy</x:v>
      </x:c>
      <x:c r="E1566" s="32" t="str">
        <x:v>Poecilia reticulata</x:v>
      </x:c>
      <x:c r="F1566" s="30" t="str">
        <x:v>common</x:v>
      </x:c>
      <x:c r="G1566" s="30" t="str">
        <x:v>standard</x:v>
      </x:c>
      <x:c r="H1566" s="30" t="str">
        <x:v>year-round</x:v>
      </x:c>
      <x:c r="I15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7">
      <x:c r="A1567" s="36" t="str">
        <x:v>east_africa</x:v>
      </x:c>
      <x:c r="B1567" s="30" t="str">
        <x:v>east-africa-broad-draft-1</x:v>
      </x:c>
      <x:c r="C1567" s="30" t="n">
        <x:v>83318</x:v>
      </x:c>
      <x:c r="D1567" s="32" t="str">
        <x:v>Guineafowl Puffer</x:v>
      </x:c>
      <x:c r="E1567" s="32" t="str">
        <x:v>Arothron meleagris</x:v>
      </x:c>
      <x:c r="F1567" s="30" t="str">
        <x:v>common</x:v>
      </x:c>
      <x:c r="G1567" s="30" t="str">
        <x:v>standard</x:v>
      </x:c>
      <x:c r="H1567" s="30" t="str">
        <x:v>year-round</x:v>
      </x:c>
      <x:c r="I15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8">
      <x:c r="A1568" s="36" t="str">
        <x:v>east_africa</x:v>
      </x:c>
      <x:c r="B1568" s="30" t="str">
        <x:v>east-africa-broad-draft-1</x:v>
      </x:c>
      <x:c r="C1568" s="30" t="n">
        <x:v>135280</x:v>
      </x:c>
      <x:c r="D1568" s="32" t="str">
        <x:v>Black-and-white Snapper</x:v>
      </x:c>
      <x:c r="E1568" s="32" t="str">
        <x:v>Macolor niger</x:v>
      </x:c>
      <x:c r="F1568" s="30" t="str">
        <x:v>common</x:v>
      </x:c>
      <x:c r="G1568" s="30" t="str">
        <x:v>standard</x:v>
      </x:c>
      <x:c r="H1568" s="30" t="str">
        <x:v>year-round</x:v>
      </x:c>
      <x:c r="I15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69">
      <x:c r="A1569" s="36" t="str">
        <x:v>east_africa</x:v>
      </x:c>
      <x:c r="B1569" s="30" t="str">
        <x:v>east-africa-broad-draft-1</x:v>
      </x:c>
      <x:c r="C1569" s="30" t="n">
        <x:v>130526</x:v>
      </x:c>
      <x:c r="D1569" s="32" t="str">
        <x:v>Spotfin Squirrelfish</x:v>
      </x:c>
      <x:c r="E1569" s="32" t="str">
        <x:v>Neoniphon sammara</x:v>
      </x:c>
      <x:c r="F1569" s="30" t="str">
        <x:v>common</x:v>
      </x:c>
      <x:c r="G1569" s="30" t="str">
        <x:v>standard</x:v>
      </x:c>
      <x:c r="H1569" s="30" t="str">
        <x:v>year-round</x:v>
      </x:c>
      <x:c r="I15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0">
      <x:c r="A1570" s="36" t="str">
        <x:v>east_africa</x:v>
      </x:c>
      <x:c r="B1570" s="30" t="str">
        <x:v>east-africa-broad-draft-1</x:v>
      </x:c>
      <x:c r="C1570" s="30" t="n">
        <x:v>111389</x:v>
      </x:c>
      <x:c r="D1570" s="32" t="str">
        <x:v>Regal Angelfish</x:v>
      </x:c>
      <x:c r="E1570" s="32" t="str">
        <x:v>Pygoplites diacanthus</x:v>
      </x:c>
      <x:c r="F1570" s="30" t="str">
        <x:v>common</x:v>
      </x:c>
      <x:c r="G1570" s="30" t="str">
        <x:v>standard</x:v>
      </x:c>
      <x:c r="H1570" s="30" t="str">
        <x:v>year-round</x:v>
      </x:c>
      <x:c r="I15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1">
      <x:c r="A1571" s="36" t="str">
        <x:v>east_africa</x:v>
      </x:c>
      <x:c r="B1571" s="30" t="str">
        <x:v>east-africa-broad-draft-1</x:v>
      </x:c>
      <x:c r="C1571" s="30" t="n">
        <x:v>1556597</x:v>
      </x:c>
      <x:c r="D1571" s="32" t="str">
        <x:v>Smallscale Scorpionfish</x:v>
      </x:c>
      <x:c r="E1571" s="32" t="str">
        <x:v>Scorpaenopsis oxycephala</x:v>
      </x:c>
      <x:c r="F1571" s="30" t="str">
        <x:v>common</x:v>
      </x:c>
      <x:c r="G1571" s="30" t="str">
        <x:v>standard</x:v>
      </x:c>
      <x:c r="H1571" s="30" t="str">
        <x:v>year-round</x:v>
      </x:c>
      <x:c r="I15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2">
      <x:c r="A1572" s="36" t="str">
        <x:v>east_africa</x:v>
      </x:c>
      <x:c r="B1572" s="30" t="str">
        <x:v>east-africa-broad-draft-1</x:v>
      </x:c>
      <x:c r="C1572" s="30" t="n">
        <x:v>98505</x:v>
      </x:c>
      <x:c r="D1572" s="32" t="str">
        <x:v>Spot-tail Wrasse</x:v>
      </x:c>
      <x:c r="E1572" s="32" t="str">
        <x:v>Coris caudimacula</x:v>
      </x:c>
      <x:c r="F1572" s="30" t="str">
        <x:v>common</x:v>
      </x:c>
      <x:c r="G1572" s="30" t="str">
        <x:v>standard</x:v>
      </x:c>
      <x:c r="H1572" s="30" t="str">
        <x:v>year-round</x:v>
      </x:c>
      <x:c r="I15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3">
      <x:c r="A1573" s="36" t="str">
        <x:v>east_africa</x:v>
      </x:c>
      <x:c r="B1573" s="30" t="str">
        <x:v>east-africa-broad-draft-1</x:v>
      </x:c>
      <x:c r="C1573" s="30" t="n">
        <x:v>180389</x:v>
      </x:c>
      <x:c r="D1573" s="32" t="str">
        <x:v>Lined Bristletooth</x:v>
      </x:c>
      <x:c r="E1573" s="32" t="str">
        <x:v>Ctenochaetus striatus</x:v>
      </x:c>
      <x:c r="F1573" s="30" t="str">
        <x:v>common</x:v>
      </x:c>
      <x:c r="G1573" s="30" t="str">
        <x:v>standard</x:v>
      </x:c>
      <x:c r="H1573" s="30" t="str">
        <x:v>year-round</x:v>
      </x:c>
      <x:c r="I15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4">
      <x:c r="A1574" s="36" t="str">
        <x:v>east_africa</x:v>
      </x:c>
      <x:c r="B1574" s="30" t="str">
        <x:v>east-africa-broad-draft-1</x:v>
      </x:c>
      <x:c r="C1574" s="30" t="n">
        <x:v>372161</x:v>
      </x:c>
      <x:c r="D1574" s="32" t="str">
        <x:v>Indian Ocean Crocodilefish</x:v>
      </x:c>
      <x:c r="E1574" s="32" t="str">
        <x:v>Papilloculiceps longiceps</x:v>
      </x:c>
      <x:c r="F1574" s="30" t="str">
        <x:v>common</x:v>
      </x:c>
      <x:c r="G1574" s="30" t="str">
        <x:v>standard</x:v>
      </x:c>
      <x:c r="H1574" s="30" t="str">
        <x:v>year-round</x:v>
      </x:c>
      <x:c r="I15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5">
      <x:c r="A1575" s="36" t="str">
        <x:v>east_africa</x:v>
      </x:c>
      <x:c r="B1575" s="30" t="str">
        <x:v>east-africa-broad-draft-1</x:v>
      </x:c>
      <x:c r="C1575" s="30" t="n">
        <x:v>1571801</x:v>
      </x:c>
      <x:c r="D1575" s="32" t="str">
        <x:v>Spotfin Lionfish</x:v>
      </x:c>
      <x:c r="E1575" s="32" t="str">
        <x:v>Pteropterus antennatus</x:v>
      </x:c>
      <x:c r="F1575" s="30" t="str">
        <x:v>common</x:v>
      </x:c>
      <x:c r="G1575" s="30" t="str">
        <x:v>standard</x:v>
      </x:c>
      <x:c r="H1575" s="30" t="str">
        <x:v>year-round</x:v>
      </x:c>
      <x:c r="I15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6">
      <x:c r="A1576" s="36" t="str">
        <x:v>east_africa</x:v>
      </x:c>
      <x:c r="B1576" s="30" t="str">
        <x:v>east-africa-broad-draft-1</x:v>
      </x:c>
      <x:c r="C1576" s="30" t="n">
        <x:v>196931</x:v>
      </x:c>
      <x:c r="D1576" s="32" t="str">
        <x:v>Shortspine Porcupinefish</x:v>
      </x:c>
      <x:c r="E1576" s="32" t="str">
        <x:v>Cyclichthys orbicularis</x:v>
      </x:c>
      <x:c r="F1576" s="30" t="str">
        <x:v>common</x:v>
      </x:c>
      <x:c r="G1576" s="30" t="str">
        <x:v>standard</x:v>
      </x:c>
      <x:c r="H1576" s="30" t="str">
        <x:v>year-round</x:v>
      </x:c>
      <x:c r="I15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7">
      <x:c r="A1577" s="36" t="str">
        <x:v>east_africa</x:v>
      </x:c>
      <x:c r="B1577" s="30" t="str">
        <x:v>east-africa-broad-draft-1</x:v>
      </x:c>
      <x:c r="C1577" s="30" t="n">
        <x:v>471653</x:v>
      </x:c>
      <x:c r="D1577" s="32" t="str">
        <x:v>Whitespotted Rabbitfish</x:v>
      </x:c>
      <x:c r="E1577" s="32" t="str">
        <x:v>Siganus sutor</x:v>
      </x:c>
      <x:c r="F1577" s="30" t="str">
        <x:v>common</x:v>
      </x:c>
      <x:c r="G1577" s="30" t="str">
        <x:v>standard</x:v>
      </x:c>
      <x:c r="H1577" s="30" t="str">
        <x:v>year-round</x:v>
      </x:c>
      <x:c r="I15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8">
      <x:c r="A1578" s="36" t="str">
        <x:v>east_africa</x:v>
      </x:c>
      <x:c r="B1578" s="30" t="str">
        <x:v>east-africa-broad-draft-1</x:v>
      </x:c>
      <x:c r="C1578" s="30" t="n">
        <x:v>52465</x:v>
      </x:c>
      <x:c r="D1578" s="32" t="str">
        <x:v>Flagtail Triggerfish</x:v>
      </x:c>
      <x:c r="E1578" s="32" t="str">
        <x:v>Sufflamen chrysopterum</x:v>
      </x:c>
      <x:c r="F1578" s="30" t="str">
        <x:v>common</x:v>
      </x:c>
      <x:c r="G1578" s="30" t="str">
        <x:v>standard</x:v>
      </x:c>
      <x:c r="H1578" s="30" t="str">
        <x:v>year-round</x:v>
      </x:c>
      <x:c r="I15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79">
      <x:c r="A1579" s="36" t="str">
        <x:v>east_africa</x:v>
      </x:c>
      <x:c r="B1579" s="30" t="str">
        <x:v>east-africa-broad-draft-1</x:v>
      </x:c>
      <x:c r="C1579" s="30" t="n">
        <x:v>196933</x:v>
      </x:c>
      <x:c r="D1579" s="32" t="str">
        <x:v>Whitebelly Toby</x:v>
      </x:c>
      <x:c r="E1579" s="32" t="str">
        <x:v>Canthigaster bennetti</x:v>
      </x:c>
      <x:c r="F1579" s="30" t="str">
        <x:v>common</x:v>
      </x:c>
      <x:c r="G1579" s="30" t="str">
        <x:v>standard</x:v>
      </x:c>
      <x:c r="H1579" s="30" t="str">
        <x:v>year-round</x:v>
      </x:c>
      <x:c r="I15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0">
      <x:c r="A1580" s="36" t="str">
        <x:v>east_africa</x:v>
      </x:c>
      <x:c r="B1580" s="30" t="str">
        <x:v>east-africa-broad-draft-1</x:v>
      </x:c>
      <x:c r="C1580" s="30" t="n">
        <x:v>445728</x:v>
      </x:c>
      <x:c r="D1580" s="32" t="str">
        <x:v>Peter's Toby</x:v>
      </x:c>
      <x:c r="E1580" s="32" t="str">
        <x:v>Canthigaster petersii</x:v>
      </x:c>
      <x:c r="F1580" s="30" t="str">
        <x:v>common</x:v>
      </x:c>
      <x:c r="G1580" s="30" t="str">
        <x:v>standard</x:v>
      </x:c>
      <x:c r="H1580" s="30" t="str">
        <x:v>year-round</x:v>
      </x:c>
      <x:c r="I15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1">
      <x:c r="A1581" s="36" t="str">
        <x:v>east_africa</x:v>
      </x:c>
      <x:c r="B1581" s="30" t="str">
        <x:v>east-africa-broad-draft-1</x:v>
      </x:c>
      <x:c r="C1581" s="30" t="n">
        <x:v>116736</x:v>
      </x:c>
      <x:c r="D1581" s="32" t="str">
        <x:v>Whitemouth Moray</x:v>
      </x:c>
      <x:c r="E1581" s="32" t="str">
        <x:v>Gymnothorax meleagris</x:v>
      </x:c>
      <x:c r="F1581" s="30" t="str">
        <x:v>common</x:v>
      </x:c>
      <x:c r="G1581" s="30" t="str">
        <x:v>standard</x:v>
      </x:c>
      <x:c r="H1581" s="30" t="str">
        <x:v>year-round</x:v>
      </x:c>
      <x:c r="I15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2">
      <x:c r="A1582" s="36" t="str">
        <x:v>east_africa</x:v>
      </x:c>
      <x:c r="B1582" s="30" t="str">
        <x:v>east-africa-broad-draft-1</x:v>
      </x:c>
      <x:c r="C1582" s="30" t="n">
        <x:v>417616</x:v>
      </x:c>
      <x:c r="D1582" s="32" t="str">
        <x:v>Red Sea Moses Sole</x:v>
      </x:c>
      <x:c r="E1582" s="32" t="str">
        <x:v>Pardachirus marmoratus</x:v>
      </x:c>
      <x:c r="F1582" s="30" t="str">
        <x:v>common</x:v>
      </x:c>
      <x:c r="G1582" s="30" t="str">
        <x:v>standard</x:v>
      </x:c>
      <x:c r="H1582" s="30" t="str">
        <x:v>year-round</x:v>
      </x:c>
      <x:c r="I15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3">
      <x:c r="A1583" s="36" t="str">
        <x:v>east_africa</x:v>
      </x:c>
      <x:c r="B1583" s="30" t="str">
        <x:v>east-africa-broad-draft-1</x:v>
      </x:c>
      <x:c r="C1583" s="30" t="n">
        <x:v>341863</x:v>
      </x:c>
      <x:c r="D1583" s="32" t="str">
        <x:v>Caerulean Damsel</x:v>
      </x:c>
      <x:c r="E1583" s="32" t="str">
        <x:v>Pomacentrus caeruleus</x:v>
      </x:c>
      <x:c r="F1583" s="30" t="str">
        <x:v>common</x:v>
      </x:c>
      <x:c r="G1583" s="30" t="str">
        <x:v>standard</x:v>
      </x:c>
      <x:c r="H1583" s="30" t="str">
        <x:v>year-round</x:v>
      </x:c>
      <x:c r="I15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4">
      <x:c r="A1584" s="36" t="str">
        <x:v>east_africa</x:v>
      </x:c>
      <x:c r="B1584" s="30" t="str">
        <x:v>east-africa-broad-draft-1</x:v>
      </x:c>
      <x:c r="C1584" s="30" t="n">
        <x:v>1561489</x:v>
      </x:c>
      <x:c r="D1584" s="32" t="str">
        <x:v>Blue-headed Wrasse</x:v>
      </x:c>
      <x:c r="E1584" s="32" t="str">
        <x:v>Thalassoma amblycephalum</x:v>
      </x:c>
      <x:c r="F1584" s="30" t="str">
        <x:v>common</x:v>
      </x:c>
      <x:c r="G1584" s="30" t="str">
        <x:v>standard</x:v>
      </x:c>
      <x:c r="H1584" s="30" t="str">
        <x:v>year-round</x:v>
      </x:c>
      <x:c r="I15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5">
      <x:c r="A1585" s="36" t="str">
        <x:v>east_africa</x:v>
      </x:c>
      <x:c r="B1585" s="30" t="str">
        <x:v>east-africa-broad-draft-1</x:v>
      </x:c>
      <x:c r="C1585" s="30" t="n">
        <x:v>132687</x:v>
      </x:c>
      <x:c r="D1585" s="32" t="str">
        <x:v>Pixy Hawkfish</x:v>
      </x:c>
      <x:c r="E1585" s="32" t="str">
        <x:v>Cirrhitichthys oxycephalus</x:v>
      </x:c>
      <x:c r="F1585" s="30" t="str">
        <x:v>common</x:v>
      </x:c>
      <x:c r="G1585" s="30" t="str">
        <x:v>standard</x:v>
      </x:c>
      <x:c r="H1585" s="30" t="str">
        <x:v>year-round</x:v>
      </x:c>
      <x:c r="I15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6">
      <x:c r="A1586" s="36" t="str">
        <x:v>east_africa</x:v>
      </x:c>
      <x:c r="B1586" s="30" t="str">
        <x:v>east-africa-broad-draft-1</x:v>
      </x:c>
      <x:c r="C1586" s="30" t="n">
        <x:v>129552</x:v>
      </x:c>
      <x:c r="D1586" s="32" t="str">
        <x:v>Network Pipefish</x:v>
      </x:c>
      <x:c r="E1586" s="32" t="str">
        <x:v>Corythoichthys flavofasciatus</x:v>
      </x:c>
      <x:c r="F1586" s="30" t="str">
        <x:v>common</x:v>
      </x:c>
      <x:c r="G1586" s="30" t="str">
        <x:v>standard</x:v>
      </x:c>
      <x:c r="H1586" s="30" t="str">
        <x:v>year-round</x:v>
      </x:c>
      <x:c r="I15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7">
      <x:c r="A1587" s="36" t="str">
        <x:v>east_africa</x:v>
      </x:c>
      <x:c r="B1587" s="30" t="str">
        <x:v>east-africa-broad-draft-1</x:v>
      </x:c>
      <x:c r="C1587" s="30" t="n">
        <x:v>117459</x:v>
      </x:c>
      <x:c r="D1587" s="32" t="str">
        <x:v>Humpnose Bigeye Bream</x:v>
      </x:c>
      <x:c r="E1587" s="32" t="str">
        <x:v>Monotaxis grandoculis</x:v>
      </x:c>
      <x:c r="F1587" s="30" t="str">
        <x:v>common</x:v>
      </x:c>
      <x:c r="G1587" s="30" t="str">
        <x:v>standard</x:v>
      </x:c>
      <x:c r="H1587" s="30" t="str">
        <x:v>year-round</x:v>
      </x:c>
      <x:c r="I15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8">
      <x:c r="A1588" s="36" t="str">
        <x:v>east_africa</x:v>
      </x:c>
      <x:c r="B1588" s="30" t="str">
        <x:v>east-africa-broad-draft-1</x:v>
      </x:c>
      <x:c r="C1588" s="30" t="n">
        <x:v>338073</x:v>
      </x:c>
      <x:c r="D1588" s="32" t="str">
        <x:v>Onespot Demoiselle</x:v>
      </x:c>
      <x:c r="E1588" s="32" t="str">
        <x:v>Chrysiptera unimaculata</x:v>
      </x:c>
      <x:c r="F1588" s="30" t="str">
        <x:v>uncommon</x:v>
      </x:c>
      <x:c r="G1588" s="30" t="str">
        <x:v>standard</x:v>
      </x:c>
      <x:c r="H1588" s="30" t="str">
        <x:v>year-round</x:v>
      </x:c>
      <x:c r="I15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89">
      <x:c r="A1589" s="36" t="str">
        <x:v>east_africa</x:v>
      </x:c>
      <x:c r="B1589" s="30" t="str">
        <x:v>east-africa-broad-draft-1</x:v>
      </x:c>
      <x:c r="C1589" s="30" t="n">
        <x:v>49269</x:v>
      </x:c>
      <x:c r="D1589" s="32" t="str">
        <x:v>Longspined Porcupinefish</x:v>
      </x:c>
      <x:c r="E1589" s="32" t="str">
        <x:v>Diodon holocanthus</x:v>
      </x:c>
      <x:c r="F1589" s="30" t="str">
        <x:v>uncommon</x:v>
      </x:c>
      <x:c r="G1589" s="30" t="str">
        <x:v>standard</x:v>
      </x:c>
      <x:c r="H1589" s="30" t="str">
        <x:v>year-round</x:v>
      </x:c>
      <x:c r="I15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0">
      <x:c r="A1590" s="36" t="str">
        <x:v>east_africa</x:v>
      </x:c>
      <x:c r="B1590" s="30" t="str">
        <x:v>east-africa-broad-draft-1</x:v>
      </x:c>
      <x:c r="C1590" s="30" t="n">
        <x:v>196838</x:v>
      </x:c>
      <x:c r="D1590" s="32" t="str">
        <x:v>Dot-and-dash Goatfish</x:v>
      </x:c>
      <x:c r="E1590" s="32" t="str">
        <x:v>Parupeneus barberinus</x:v>
      </x:c>
      <x:c r="F1590" s="30" t="str">
        <x:v>uncommon</x:v>
      </x:c>
      <x:c r="G1590" s="30" t="str">
        <x:v>standard</x:v>
      </x:c>
      <x:c r="H1590" s="30" t="str">
        <x:v>year-round</x:v>
      </x:c>
      <x:c r="I15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1">
      <x:c r="A1591" s="36" t="str">
        <x:v>east_africa</x:v>
      </x:c>
      <x:c r="B1591" s="30" t="str">
        <x:v>east-africa-broad-draft-1</x:v>
      </x:c>
      <x:c r="C1591" s="30" t="n">
        <x:v>49210</x:v>
      </x:c>
      <x:c r="D1591" s="32" t="str">
        <x:v>Striped Eel Catfish</x:v>
      </x:c>
      <x:c r="E1591" s="32" t="str">
        <x:v>Plotosus lineatus</x:v>
      </x:c>
      <x:c r="F1591" s="30" t="str">
        <x:v>uncommon</x:v>
      </x:c>
      <x:c r="G1591" s="30" t="str">
        <x:v>standard</x:v>
      </x:c>
      <x:c r="H1591" s="30" t="str">
        <x:v>year-round</x:v>
      </x:c>
      <x:c r="I15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2">
      <x:c r="A1592" s="36" t="str">
        <x:v>east_africa</x:v>
      </x:c>
      <x:c r="B1592" s="30" t="str">
        <x:v>east-africa-broad-draft-1</x:v>
      </x:c>
      <x:c r="C1592" s="30" t="n">
        <x:v>179880</x:v>
      </x:c>
      <x:c r="D1592" s="32" t="str">
        <x:v>Blue-green Chromis</x:v>
      </x:c>
      <x:c r="E1592" s="32" t="str">
        <x:v>Chromis viridis</x:v>
      </x:c>
      <x:c r="F1592" s="30" t="str">
        <x:v>uncommon</x:v>
      </x:c>
      <x:c r="G1592" s="30" t="str">
        <x:v>standard</x:v>
      </x:c>
      <x:c r="H1592" s="30" t="str">
        <x:v>year-round</x:v>
      </x:c>
      <x:c r="I15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3">
      <x:c r="A1593" s="36" t="str">
        <x:v>east_africa</x:v>
      </x:c>
      <x:c r="B1593" s="30" t="str">
        <x:v>east-africa-broad-draft-1</x:v>
      </x:c>
      <x:c r="C1593" s="30" t="n">
        <x:v>64490</x:v>
      </x:c>
      <x:c r="D1593" s="32" t="str">
        <x:v>Reef Stonefish</x:v>
      </x:c>
      <x:c r="E1593" s="32" t="str">
        <x:v>Synanceia verrucosa</x:v>
      </x:c>
      <x:c r="F1593" s="30" t="str">
        <x:v>uncommon</x:v>
      </x:c>
      <x:c r="G1593" s="30" t="str">
        <x:v>standard</x:v>
      </x:c>
      <x:c r="H1593" s="30" t="str">
        <x:v>year-round</x:v>
      </x:c>
      <x:c r="I15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4">
      <x:c r="A1594" s="36" t="str">
        <x:v>east_africa</x:v>
      </x:c>
      <x:c r="B1594" s="30" t="str">
        <x:v>east-africa-broad-draft-1</x:v>
      </x:c>
      <x:c r="C1594" s="30" t="n">
        <x:v>113200</x:v>
      </x:c>
      <x:c r="D1594" s="32" t="str">
        <x:v>Whiteline Wrasse</x:v>
      </x:c>
      <x:c r="E1594" s="32" t="str">
        <x:v>Stethojulis albovittata</x:v>
      </x:c>
      <x:c r="F1594" s="30" t="str">
        <x:v>uncommon</x:v>
      </x:c>
      <x:c r="G1594" s="30" t="str">
        <x:v>standard</x:v>
      </x:c>
      <x:c r="H1594" s="30" t="str">
        <x:v>year-round</x:v>
      </x:c>
      <x:c r="I15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5">
      <x:c r="A1595" s="36" t="str">
        <x:v>east_africa</x:v>
      </x:c>
      <x:c r="B1595" s="30" t="str">
        <x:v>east-africa-broad-draft-1</x:v>
      </x:c>
      <x:c r="C1595" s="30" t="n">
        <x:v>311609</x:v>
      </x:c>
      <x:c r="D1595" s="32" t="str">
        <x:v>Green Damselfish</x:v>
      </x:c>
      <x:c r="E1595" s="32" t="str">
        <x:v>Amblyglyphidodon indicus</x:v>
      </x:c>
      <x:c r="F1595" s="30" t="str">
        <x:v>uncommon</x:v>
      </x:c>
      <x:c r="G1595" s="30" t="str">
        <x:v>standard</x:v>
      </x:c>
      <x:c r="H1595" s="30" t="str">
        <x:v>year-round</x:v>
      </x:c>
      <x:c r="I15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6">
      <x:c r="A1596" s="36" t="str">
        <x:v>east_africa</x:v>
      </x:c>
      <x:c r="B1596" s="30" t="str">
        <x:v>east-africa-broad-draft-1</x:v>
      </x:c>
      <x:c r="C1596" s="30" t="n">
        <x:v>181019</x:v>
      </x:c>
      <x:c r="D1596" s="32" t="str">
        <x:v>Ternate Chromis</x:v>
      </x:c>
      <x:c r="E1596" s="32" t="str">
        <x:v>Chromis ternatensis</x:v>
      </x:c>
      <x:c r="F1596" s="30" t="str">
        <x:v>uncommon</x:v>
      </x:c>
      <x:c r="G1596" s="30" t="str">
        <x:v>standard</x:v>
      </x:c>
      <x:c r="H1596" s="30" t="str">
        <x:v>year-round</x:v>
      </x:c>
      <x:c r="I15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7">
      <x:c r="A1597" s="36" t="str">
        <x:v>east_africa</x:v>
      </x:c>
      <x:c r="B1597" s="30" t="str">
        <x:v>east-africa-broad-draft-1</x:v>
      </x:c>
      <x:c r="C1597" s="30" t="n">
        <x:v>208535</x:v>
      </x:c>
      <x:c r="D1597" s="32" t="str">
        <x:v>Rufigi Tilapia</x:v>
      </x:c>
      <x:c r="E1597" s="32" t="str">
        <x:v>Oreochromis urolepis</x:v>
      </x:c>
      <x:c r="F1597" s="30" t="str">
        <x:v>uncommon</x:v>
      </x:c>
      <x:c r="G1597" s="30" t="str">
        <x:v>standard</x:v>
      </x:c>
      <x:c r="H1597" s="30" t="str">
        <x:v>year-round</x:v>
      </x:c>
      <x:c r="I15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8">
      <x:c r="A1598" s="36" t="str">
        <x:v>east_africa</x:v>
      </x:c>
      <x:c r="B1598" s="30" t="str">
        <x:v>east-africa-broad-draft-1</x:v>
      </x:c>
      <x:c r="C1598" s="30" t="n">
        <x:v>96498</x:v>
      </x:c>
      <x:c r="D1598" s="32" t="str">
        <x:v>Star-eye Parrotfish</x:v>
      </x:c>
      <x:c r="E1598" s="32" t="str">
        <x:v>Calotomus carolinus</x:v>
      </x:c>
      <x:c r="F1598" s="30" t="str">
        <x:v>uncommon</x:v>
      </x:c>
      <x:c r="G1598" s="30" t="str">
        <x:v>standard</x:v>
      </x:c>
      <x:c r="H1598" s="30" t="str">
        <x:v>year-round</x:v>
      </x:c>
      <x:c r="I15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599">
      <x:c r="A1599" s="36" t="str">
        <x:v>east_africa</x:v>
      </x:c>
      <x:c r="B1599" s="30" t="str">
        <x:v>east-africa-broad-draft-1</x:v>
      </x:c>
      <x:c r="C1599" s="30" t="n">
        <x:v>97211</x:v>
      </x:c>
      <x:c r="D1599" s="32" t="str">
        <x:v>Yellowhead Butterflyfish</x:v>
      </x:c>
      <x:c r="E1599" s="32" t="str">
        <x:v>Chaetodon xanthocephalus</x:v>
      </x:c>
      <x:c r="F1599" s="30" t="str">
        <x:v>uncommon</x:v>
      </x:c>
      <x:c r="G1599" s="30" t="str">
        <x:v>standard</x:v>
      </x:c>
      <x:c r="H1599" s="30" t="str">
        <x:v>year-round</x:v>
      </x:c>
      <x:c r="I15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0">
      <x:c r="A1600" s="36" t="str">
        <x:v>east_africa</x:v>
      </x:c>
      <x:c r="B1600" s="30" t="str">
        <x:v>east-africa-broad-draft-1</x:v>
      </x:c>
      <x:c r="C1600" s="30" t="n">
        <x:v>49364</x:v>
      </x:c>
      <x:c r="D1600" s="32" t="str">
        <x:v>Richardson's Moray</x:v>
      </x:c>
      <x:c r="E1600" s="32" t="str">
        <x:v>Gymnothorax richardsonii</x:v>
      </x:c>
      <x:c r="F1600" s="30" t="str">
        <x:v>uncommon</x:v>
      </x:c>
      <x:c r="G1600" s="30" t="str">
        <x:v>standard</x:v>
      </x:c>
      <x:c r="H1600" s="30" t="str">
        <x:v>year-round</x:v>
      </x:c>
      <x:c r="I16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1">
      <x:c r="A1601" s="36" t="str">
        <x:v>east_africa</x:v>
      </x:c>
      <x:c r="B1601" s="30" t="str">
        <x:v>east-africa-broad-draft-1</x:v>
      </x:c>
      <x:c r="C1601" s="30" t="n">
        <x:v>83879</x:v>
      </x:c>
      <x:c r="D1601" s="32" t="str">
        <x:v>Paletail Unicornfish</x:v>
      </x:c>
      <x:c r="E1601" s="32" t="str">
        <x:v>Naso brevirostris</x:v>
      </x:c>
      <x:c r="F1601" s="30" t="str">
        <x:v>uncommon</x:v>
      </x:c>
      <x:c r="G1601" s="30" t="str">
        <x:v>standard</x:v>
      </x:c>
      <x:c r="H1601" s="30" t="str">
        <x:v>year-round</x:v>
      </x:c>
      <x:c r="I16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2">
      <x:c r="A1602" s="36" t="str">
        <x:v>east_africa</x:v>
      </x:c>
      <x:c r="B1602" s="30" t="str">
        <x:v>east-africa-broad-draft-1</x:v>
      </x:c>
      <x:c r="C1602" s="30" t="n">
        <x:v>52399</x:v>
      </x:c>
      <x:c r="D1602" s="32" t="str">
        <x:v>Undulated Moray</x:v>
      </x:c>
      <x:c r="E1602" s="32" t="str">
        <x:v>Gymnothorax undulatus</x:v>
      </x:c>
      <x:c r="F1602" s="30" t="str">
        <x:v>uncommon</x:v>
      </x:c>
      <x:c r="G1602" s="30" t="str">
        <x:v>standard</x:v>
      </x:c>
      <x:c r="H1602" s="30" t="str">
        <x:v>year-round</x:v>
      </x:c>
      <x:c r="I16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3">
      <x:c r="A1603" s="36" t="str">
        <x:v>east_africa</x:v>
      </x:c>
      <x:c r="B1603" s="30" t="str">
        <x:v>east-africa-broad-draft-1</x:v>
      </x:c>
      <x:c r="C1603" s="30" t="n">
        <x:v>51376</x:v>
      </x:c>
      <x:c r="D1603" s="32" t="str">
        <x:v>Oriental Flying Gurnard</x:v>
      </x:c>
      <x:c r="E1603" s="32" t="str">
        <x:v>Dactyloptena orientalis</x:v>
      </x:c>
      <x:c r="F1603" s="30" t="str">
        <x:v>uncommon</x:v>
      </x:c>
      <x:c r="G1603" s="30" t="str">
        <x:v>standard</x:v>
      </x:c>
      <x:c r="H1603" s="30" t="str">
        <x:v>year-round</x:v>
      </x:c>
      <x:c r="I16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4">
      <x:c r="A1604" s="36" t="str">
        <x:v>east_africa</x:v>
      </x:c>
      <x:c r="B1604" s="30" t="str">
        <x:v>east-africa-broad-draft-1</x:v>
      </x:c>
      <x:c r="C1604" s="30" t="n">
        <x:v>57399</x:v>
      </x:c>
      <x:c r="D1604" s="32" t="str">
        <x:v>Blue-spotted Cornetfish</x:v>
      </x:c>
      <x:c r="E1604" s="32" t="str">
        <x:v>Fistularia commersonii</x:v>
      </x:c>
      <x:c r="F1604" s="30" t="str">
        <x:v>uncommon</x:v>
      </x:c>
      <x:c r="G1604" s="30" t="str">
        <x:v>standard</x:v>
      </x:c>
      <x:c r="H1604" s="30" t="str">
        <x:v>year-round</x:v>
      </x:c>
      <x:c r="I16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5">
      <x:c r="A1605" s="36" t="str">
        <x:v>east_africa</x:v>
      </x:c>
      <x:c r="B1605" s="30" t="str">
        <x:v>east-africa-broad-draft-1</x:v>
      </x:c>
      <x:c r="C1605" s="30" t="n">
        <x:v>123392</x:v>
      </x:c>
      <x:c r="D1605" s="32" t="str">
        <x:v>Titan Triggerfish</x:v>
      </x:c>
      <x:c r="E1605" s="32" t="str">
        <x:v>Balistoides viridescens</x:v>
      </x:c>
      <x:c r="F1605" s="30" t="str">
        <x:v>uncommon</x:v>
      </x:c>
      <x:c r="G1605" s="30" t="str">
        <x:v>standard</x:v>
      </x:c>
      <x:c r="H1605" s="30" t="str">
        <x:v>year-round</x:v>
      </x:c>
      <x:c r="I16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6">
      <x:c r="A1606" s="36" t="str">
        <x:v>east_africa</x:v>
      </x:c>
      <x:c r="B1606" s="30" t="str">
        <x:v>east-africa-broad-draft-1</x:v>
      </x:c>
      <x:c r="C1606" s="30" t="n">
        <x:v>97312</x:v>
      </x:c>
      <x:c r="D1606" s="32" t="str">
        <x:v>Cigar Wrasse</x:v>
      </x:c>
      <x:c r="E1606" s="32" t="str">
        <x:v>Cheilio inermis</x:v>
      </x:c>
      <x:c r="F1606" s="30" t="str">
        <x:v>uncommon</x:v>
      </x:c>
      <x:c r="G1606" s="30" t="str">
        <x:v>standard</x:v>
      </x:c>
      <x:c r="H1606" s="30" t="str">
        <x:v>year-round</x:v>
      </x:c>
      <x:c r="I16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7">
      <x:c r="A1607" s="36" t="str">
        <x:v>east_africa</x:v>
      </x:c>
      <x:c r="B1607" s="30" t="str">
        <x:v>east-africa-broad-draft-1</x:v>
      </x:c>
      <x:c r="C1607" s="30" t="n">
        <x:v>52313</x:v>
      </x:c>
      <x:c r="D1607" s="32" t="str">
        <x:v>Spotted Porcupinefish</x:v>
      </x:c>
      <x:c r="E1607" s="32" t="str">
        <x:v>Diodon hystrix</x:v>
      </x:c>
      <x:c r="F1607" s="30" t="str">
        <x:v>uncommon</x:v>
      </x:c>
      <x:c r="G1607" s="30" t="str">
        <x:v>standard</x:v>
      </x:c>
      <x:c r="H1607" s="30" t="str">
        <x:v>year-round</x:v>
      </x:c>
      <x:c r="I16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8">
      <x:c r="A1608" s="36" t="str">
        <x:v>east_africa</x:v>
      </x:c>
      <x:c r="B1608" s="30" t="str">
        <x:v>east-africa-broad-draft-1</x:v>
      </x:c>
      <x:c r="C1608" s="30" t="n">
        <x:v>121740</x:v>
      </x:c>
      <x:c r="D1608" s="32" t="str">
        <x:v>Yellowmargin Moray</x:v>
      </x:c>
      <x:c r="E1608" s="32" t="str">
        <x:v>Gymnothorax flavimarginatus</x:v>
      </x:c>
      <x:c r="F1608" s="30" t="str">
        <x:v>uncommon</x:v>
      </x:c>
      <x:c r="G1608" s="30" t="str">
        <x:v>standard</x:v>
      </x:c>
      <x:c r="H1608" s="30" t="str">
        <x:v>year-round</x:v>
      </x:c>
      <x:c r="I16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09">
      <x:c r="A1609" s="36" t="str">
        <x:v>east_africa</x:v>
      </x:c>
      <x:c r="B1609" s="30" t="str">
        <x:v>east-africa-broad-draft-1</x:v>
      </x:c>
      <x:c r="C1609" s="30" t="n">
        <x:v>208069</x:v>
      </x:c>
      <x:c r="D1609" s="32" t="str">
        <x:v>Yellowback Fusilier</x:v>
      </x:c>
      <x:c r="E1609" s="32" t="str">
        <x:v>Caesio xanthonota</x:v>
      </x:c>
      <x:c r="F1609" s="30" t="str">
        <x:v>uncommon</x:v>
      </x:c>
      <x:c r="G1609" s="30" t="str">
        <x:v>standard</x:v>
      </x:c>
      <x:c r="H1609" s="30" t="str">
        <x:v>year-round</x:v>
      </x:c>
      <x:c r="I16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0">
      <x:c r="A1610" s="36" t="str">
        <x:v>east_africa</x:v>
      </x:c>
      <x:c r="B1610" s="30" t="str">
        <x:v>east-africa-broad-draft-1</x:v>
      </x:c>
      <x:c r="C1610" s="30" t="n">
        <x:v>49639</x:v>
      </x:c>
      <x:c r="D1610" s="32" t="str">
        <x:v>Coral Grouper</x:v>
      </x:c>
      <x:c r="E1610" s="32" t="str">
        <x:v>Cephalopholis miniata</x:v>
      </x:c>
      <x:c r="F1610" s="30" t="str">
        <x:v>uncommon</x:v>
      </x:c>
      <x:c r="G1610" s="30" t="str">
        <x:v>standard</x:v>
      </x:c>
      <x:c r="H1610" s="30" t="str">
        <x:v>year-round</x:v>
      </x:c>
      <x:c r="I16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1">
      <x:c r="A1611" s="36" t="str">
        <x:v>east_africa</x:v>
      </x:c>
      <x:c r="B1611" s="30" t="str">
        <x:v>east-africa-broad-draft-1</x:v>
      </x:c>
      <x:c r="C1611" s="30" t="n">
        <x:v>194784</x:v>
      </x:c>
      <x:c r="D1611" s="32" t="str">
        <x:v>Fiveline Cardinalfish</x:v>
      </x:c>
      <x:c r="E1611" s="32" t="str">
        <x:v>Cheilodipterus quinquelineatus</x:v>
      </x:c>
      <x:c r="F1611" s="30" t="str">
        <x:v>uncommon</x:v>
      </x:c>
      <x:c r="G1611" s="30" t="str">
        <x:v>standard</x:v>
      </x:c>
      <x:c r="H1611" s="30" t="str">
        <x:v>year-round</x:v>
      </x:c>
      <x:c r="I16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2">
      <x:c r="A1612" s="36" t="str">
        <x:v>east_africa</x:v>
      </x:c>
      <x:c r="B1612" s="30" t="str">
        <x:v>east-africa-broad-draft-1</x:v>
      </x:c>
      <x:c r="C1612" s="30" t="n">
        <x:v>100990</x:v>
      </x:c>
      <x:c r="D1612" s="32" t="str">
        <x:v>Forceps Butterflyfish</x:v>
      </x:c>
      <x:c r="E1612" s="32" t="str">
        <x:v>Forcipiger flavissimus</x:v>
      </x:c>
      <x:c r="F1612" s="30" t="str">
        <x:v>uncommon</x:v>
      </x:c>
      <x:c r="G1612" s="30" t="str">
        <x:v>standard</x:v>
      </x:c>
      <x:c r="H1612" s="30" t="str">
        <x:v>year-round</x:v>
      </x:c>
      <x:c r="I16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3">
      <x:c r="A1613" s="36" t="str">
        <x:v>east_africa</x:v>
      </x:c>
      <x:c r="B1613" s="30" t="str">
        <x:v>east-africa-broad-draft-1</x:v>
      </x:c>
      <x:c r="C1613" s="30" t="n">
        <x:v>47578</x:v>
      </x:c>
      <x:c r="D1613" s="32" t="str">
        <x:v>Arc-eye Hawkfish</x:v>
      </x:c>
      <x:c r="E1613" s="32" t="str">
        <x:v>Paracirrhites arcatus</x:v>
      </x:c>
      <x:c r="F1613" s="30" t="str">
        <x:v>uncommon</x:v>
      </x:c>
      <x:c r="G1613" s="30" t="str">
        <x:v>standard</x:v>
      </x:c>
      <x:c r="H1613" s="30" t="str">
        <x:v>year-round</x:v>
      </x:c>
      <x:c r="I16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4">
      <x:c r="A1614" s="36" t="str">
        <x:v>east_africa</x:v>
      </x:c>
      <x:c r="B1614" s="30" t="str">
        <x:v>east-africa-broad-draft-1</x:v>
      </x:c>
      <x:c r="C1614" s="30" t="n">
        <x:v>97165</x:v>
      </x:c>
      <x:c r="D1614" s="32" t="str">
        <x:v>Spotted Butterflyfish</x:v>
      </x:c>
      <x:c r="E1614" s="32" t="str">
        <x:v>Chaetodon guttatissimus</x:v>
      </x:c>
      <x:c r="F1614" s="30" t="str">
        <x:v>uncommon</x:v>
      </x:c>
      <x:c r="G1614" s="30" t="str">
        <x:v>standard</x:v>
      </x:c>
      <x:c r="H1614" s="30" t="str">
        <x:v>year-round</x:v>
      </x:c>
      <x:c r="I16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5">
      <x:c r="A1615" s="36" t="str">
        <x:v>east_africa</x:v>
      </x:c>
      <x:c r="B1615" s="30" t="str">
        <x:v>east-africa-broad-draft-1</x:v>
      </x:c>
      <x:c r="C1615" s="30" t="n">
        <x:v>95813</x:v>
      </x:c>
      <x:c r="D1615" s="32" t="str">
        <x:v>Axilspot Hogfish</x:v>
      </x:c>
      <x:c r="E1615" s="32" t="str">
        <x:v>Bodianus axillaris</x:v>
      </x:c>
      <x:c r="F1615" s="30" t="str">
        <x:v>uncommon</x:v>
      </x:c>
      <x:c r="G1615" s="30" t="str">
        <x:v>standard</x:v>
      </x:c>
      <x:c r="H1615" s="30" t="str">
        <x:v>year-round</x:v>
      </x:c>
      <x:c r="I16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6">
      <x:c r="A1616" s="36" t="str">
        <x:v>east_africa</x:v>
      </x:c>
      <x:c r="B1616" s="30" t="str">
        <x:v>east-africa-broad-draft-1</x:v>
      </x:c>
      <x:c r="C1616" s="30" t="n">
        <x:v>132396</x:v>
      </x:c>
      <x:c r="D1616" s="32" t="str">
        <x:v>Painted Sweetlips</x:v>
      </x:c>
      <x:c r="E1616" s="32" t="str">
        <x:v>Diagramma pictum</x:v>
      </x:c>
      <x:c r="F1616" s="30" t="str">
        <x:v>uncommon</x:v>
      </x:c>
      <x:c r="G1616" s="30" t="str">
        <x:v>standard</x:v>
      </x:c>
      <x:c r="H1616" s="30" t="str">
        <x:v>year-round</x:v>
      </x:c>
      <x:c r="I16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7">
      <x:c r="A1617" s="36" t="str">
        <x:v>east_africa</x:v>
      </x:c>
      <x:c r="B1617" s="30" t="str">
        <x:v>east-africa-broad-draft-1</x:v>
      </x:c>
      <x:c r="C1617" s="30" t="n">
        <x:v>49979</x:v>
      </x:c>
      <x:c r="D1617" s="32" t="str">
        <x:v>Zebra Moray</x:v>
      </x:c>
      <x:c r="E1617" s="32" t="str">
        <x:v>Gymnomuraena zebra</x:v>
      </x:c>
      <x:c r="F1617" s="30" t="str">
        <x:v>uncommon</x:v>
      </x:c>
      <x:c r="G1617" s="30" t="str">
        <x:v>standard</x:v>
      </x:c>
      <x:c r="H1617" s="30" t="str">
        <x:v>year-round</x:v>
      </x:c>
      <x:c r="I16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8">
      <x:c r="A1618" s="36" t="str">
        <x:v>east_africa</x:v>
      </x:c>
      <x:c r="B1618" s="30" t="str">
        <x:v>east-africa-broad-draft-1</x:v>
      </x:c>
      <x:c r="C1618" s="30" t="n">
        <x:v>82355</x:v>
      </x:c>
      <x:c r="D1618" s="32" t="str">
        <x:v>Napoleon Wrasse</x:v>
      </x:c>
      <x:c r="E1618" s="32" t="str">
        <x:v>Cheilinus undulatus</x:v>
      </x:c>
      <x:c r="F1618" s="30" t="str">
        <x:v>uncommon</x:v>
      </x:c>
      <x:c r="G1618" s="30" t="str">
        <x:v>standard</x:v>
      </x:c>
      <x:c r="H1618" s="30" t="str">
        <x:v>year-round</x:v>
      </x:c>
      <x:c r="I16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19">
      <x:c r="A1619" s="36" t="str">
        <x:v>east_africa</x:v>
      </x:c>
      <x:c r="B1619" s="30" t="str">
        <x:v>east-africa-broad-draft-1</x:v>
      </x:c>
      <x:c r="C1619" s="30" t="n">
        <x:v>334629</x:v>
      </x:c>
      <x:c r="D1619" s="32" t="str">
        <x:v>Weber's Puller</x:v>
      </x:c>
      <x:c r="E1619" s="32" t="str">
        <x:v>Chromis weberi</x:v>
      </x:c>
      <x:c r="F1619" s="30" t="str">
        <x:v>uncommon</x:v>
      </x:c>
      <x:c r="G1619" s="30" t="str">
        <x:v>standard</x:v>
      </x:c>
      <x:c r="H1619" s="30" t="str">
        <x:v>year-round</x:v>
      </x:c>
      <x:c r="I16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0">
      <x:c r="A1620" s="36" t="str">
        <x:v>east_africa</x:v>
      </x:c>
      <x:c r="B1620" s="30" t="str">
        <x:v>east-africa-broad-draft-1</x:v>
      </x:c>
      <x:c r="C1620" s="30" t="n">
        <x:v>142704</x:v>
      </x:c>
      <x:c r="D1620" s="32" t="str">
        <x:v>Humpback Snapper</x:v>
      </x:c>
      <x:c r="E1620" s="32" t="str">
        <x:v>Lutjanus gibbus</x:v>
      </x:c>
      <x:c r="F1620" s="30" t="str">
        <x:v>uncommon</x:v>
      </x:c>
      <x:c r="G1620" s="30" t="str">
        <x:v>standard</x:v>
      </x:c>
      <x:c r="H1620" s="30" t="str">
        <x:v>year-round</x:v>
      </x:c>
      <x:c r="I16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1">
      <x:c r="A1621" s="36" t="str">
        <x:v>east_africa</x:v>
      </x:c>
      <x:c r="B1621" s="30" t="str">
        <x:v>east-africa-broad-draft-1</x:v>
      </x:c>
      <x:c r="C1621" s="30" t="n">
        <x:v>194743</x:v>
      </x:c>
      <x:c r="D1621" s="32" t="str">
        <x:v>Violet Soldierfish</x:v>
      </x:c>
      <x:c r="E1621" s="32" t="str">
        <x:v>Myripristis violacea</x:v>
      </x:c>
      <x:c r="F1621" s="30" t="str">
        <x:v>uncommon</x:v>
      </x:c>
      <x:c r="G1621" s="30" t="str">
        <x:v>standard</x:v>
      </x:c>
      <x:c r="H1621" s="30" t="str">
        <x:v>year-round</x:v>
      </x:c>
      <x:c r="I16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2">
      <x:c r="A1622" s="36" t="str">
        <x:v>east_africa</x:v>
      </x:c>
      <x:c r="B1622" s="30" t="str">
        <x:v>east-africa-broad-draft-1</x:v>
      </x:c>
      <x:c r="C1622" s="30" t="n">
        <x:v>1571793</x:v>
      </x:c>
      <x:c r="D1622" s="32" t="str">
        <x:v>African Lionfish</x:v>
      </x:c>
      <x:c r="E1622" s="32" t="str">
        <x:v>Pteropterus mombasae</x:v>
      </x:c>
      <x:c r="F1622" s="30" t="str">
        <x:v>uncommon</x:v>
      </x:c>
      <x:c r="G1622" s="30" t="str">
        <x:v>standard</x:v>
      </x:c>
      <x:c r="H1622" s="30" t="str">
        <x:v>year-round</x:v>
      </x:c>
      <x:c r="I16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3">
      <x:c r="A1623" s="36" t="str">
        <x:v>east_africa</x:v>
      </x:c>
      <x:c r="B1623" s="30" t="str">
        <x:v>east-africa-broad-draft-1</x:v>
      </x:c>
      <x:c r="C1623" s="30" t="n">
        <x:v>341387</x:v>
      </x:c>
      <x:c r="D1623" s="32" t="str">
        <x:v>Twospot Demoiselle</x:v>
      </x:c>
      <x:c r="E1623" s="32" t="str">
        <x:v>Chrysiptera biocellata</x:v>
      </x:c>
      <x:c r="F1623" s="30" t="str">
        <x:v>rare</x:v>
      </x:c>
      <x:c r="G1623" s="30" t="str">
        <x:v>standard</x:v>
      </x:c>
      <x:c r="H1623" s="30" t="str">
        <x:v>year-round</x:v>
      </x:c>
      <x:c r="I16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4">
      <x:c r="A1624" s="36" t="str">
        <x:v>east_africa</x:v>
      </x:c>
      <x:c r="B1624" s="30" t="str">
        <x:v>east-africa-broad-draft-1</x:v>
      </x:c>
      <x:c r="C1624" s="30" t="n">
        <x:v>102631</x:v>
      </x:c>
      <x:c r="D1624" s="32" t="str">
        <x:v>Longfin Bannerfish</x:v>
      </x:c>
      <x:c r="E1624" s="32" t="str">
        <x:v>Heniochus acuminatus</x:v>
      </x:c>
      <x:c r="F1624" s="30" t="str">
        <x:v>uncommon</x:v>
      </x:c>
      <x:c r="G1624" s="30" t="str">
        <x:v>standard</x:v>
      </x:c>
      <x:c r="H1624" s="30" t="str">
        <x:v>year-round</x:v>
      </x:c>
      <x:c r="I16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5">
      <x:c r="A1625" s="36" t="str">
        <x:v>east_africa</x:v>
      </x:c>
      <x:c r="B1625" s="30" t="str">
        <x:v>east-africa-broad-draft-1</x:v>
      </x:c>
      <x:c r="C1625" s="30" t="n">
        <x:v>103900</x:v>
      </x:c>
      <x:c r="D1625" s="32" t="str">
        <x:v>Bicolor Cleaner Wrasse</x:v>
      </x:c>
      <x:c r="E1625" s="32" t="str">
        <x:v>Labroides bicolor</x:v>
      </x:c>
      <x:c r="F1625" s="30" t="str">
        <x:v>uncommon</x:v>
      </x:c>
      <x:c r="G1625" s="30" t="str">
        <x:v>standard</x:v>
      </x:c>
      <x:c r="H1625" s="30" t="str">
        <x:v>year-round</x:v>
      </x:c>
      <x:c r="I16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6">
      <x:c r="A1626" s="36" t="str">
        <x:v>east_africa</x:v>
      </x:c>
      <x:c r="B1626" s="30" t="str">
        <x:v>east-africa-broad-draft-1</x:v>
      </x:c>
      <x:c r="C1626" s="30" t="n">
        <x:v>125802</x:v>
      </x:c>
      <x:c r="D1626" s="32" t="str">
        <x:v>Mangrove Red Snapper</x:v>
      </x:c>
      <x:c r="E1626" s="32" t="str">
        <x:v>Lutjanus argentimaculatus</x:v>
      </x:c>
      <x:c r="F1626" s="30" t="str">
        <x:v>uncommon</x:v>
      </x:c>
      <x:c r="G1626" s="30" t="str">
        <x:v>standard</x:v>
      </x:c>
      <x:c r="H1626" s="30" t="str">
        <x:v>year-round</x:v>
      </x:c>
      <x:c r="I16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7">
      <x:c r="A1627" s="36" t="str">
        <x:v>east_africa</x:v>
      </x:c>
      <x:c r="B1627" s="30" t="str">
        <x:v>east-africa-broad-draft-1</x:v>
      </x:c>
      <x:c r="C1627" s="30" t="n">
        <x:v>1571758</x:v>
      </x:c>
      <x:c r="D1627" s="32" t="str">
        <x:v>Red Sea Dwarf Lionfish</x:v>
      </x:c>
      <x:c r="E1627" s="32" t="str">
        <x:v>Neochirus hemprichi</x:v>
      </x:c>
      <x:c r="F1627" s="30" t="str">
        <x:v>rare</x:v>
      </x:c>
      <x:c r="G1627" s="30" t="str">
        <x:v>standard</x:v>
      </x:c>
      <x:c r="H1627" s="30" t="str">
        <x:v>year-round</x:v>
      </x:c>
      <x:c r="I16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8">
      <x:c r="A1628" s="36" t="str">
        <x:v>east_africa</x:v>
      </x:c>
      <x:c r="B1628" s="30" t="str">
        <x:v>east-africa-broad-draft-1</x:v>
      </x:c>
      <x:c r="C1628" s="30" t="n">
        <x:v>108076</x:v>
      </x:c>
      <x:c r="D1628" s="32" t="str">
        <x:v>Linedcheek Wrasse</x:v>
      </x:c>
      <x:c r="E1628" s="32" t="str">
        <x:v>Oxycheilinus digramma</x:v>
      </x:c>
      <x:c r="F1628" s="30" t="str">
        <x:v>uncommon</x:v>
      </x:c>
      <x:c r="G1628" s="30" t="str">
        <x:v>standard</x:v>
      </x:c>
      <x:c r="H1628" s="30" t="str">
        <x:v>year-round</x:v>
      </x:c>
      <x:c r="I16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29">
      <x:c r="A1629" s="36" t="str">
        <x:v>east_africa</x:v>
      </x:c>
      <x:c r="B1629" s="30" t="str">
        <x:v>east-africa-broad-draft-1</x:v>
      </x:c>
      <x:c r="C1629" s="30" t="n">
        <x:v>341862</x:v>
      </x:c>
      <x:c r="D1629" s="32" t="str">
        <x:v>Goldspotted Sweetlips</x:v>
      </x:c>
      <x:c r="E1629" s="32" t="str">
        <x:v>Plectorhinchus flavomaculatus</x:v>
      </x:c>
      <x:c r="F1629" s="30" t="str">
        <x:v>rare</x:v>
      </x:c>
      <x:c r="G1629" s="30" t="str">
        <x:v>standard</x:v>
      </x:c>
      <x:c r="H1629" s="30" t="str">
        <x:v>year-round</x:v>
      </x:c>
      <x:c r="I16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0">
      <x:c r="A1630" s="36" t="str">
        <x:v>east_africa</x:v>
      </x:c>
      <x:c r="B1630" s="30" t="str">
        <x:v>east-africa-broad-draft-1</x:v>
      </x:c>
      <x:c r="C1630" s="30" t="n">
        <x:v>425272</x:v>
      </x:c>
      <x:c r="D1630" s="32" t="str">
        <x:v>Iridescent Cardinalfish</x:v>
      </x:c>
      <x:c r="E1630" s="32" t="str">
        <x:v>Pristiapogon kallopterus</x:v>
      </x:c>
      <x:c r="F1630" s="30" t="str">
        <x:v>rare</x:v>
      </x:c>
      <x:c r="G1630" s="30" t="str">
        <x:v>standard</x:v>
      </x:c>
      <x:c r="H1630" s="30" t="str">
        <x:v>year-round</x:v>
      </x:c>
      <x:c r="I16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1">
      <x:c r="A1631" s="36" t="str">
        <x:v>east_africa</x:v>
      </x:c>
      <x:c r="B1631" s="30" t="str">
        <x:v>east-africa-broad-draft-1</x:v>
      </x:c>
      <x:c r="C1631" s="30" t="n">
        <x:v>272548</x:v>
      </x:c>
      <x:c r="D1631" s="32" t="str">
        <x:v>Bentstick Pipefish</x:v>
      </x:c>
      <x:c r="E1631" s="32" t="str">
        <x:v>Trachyrhamphus bicoarctatus</x:v>
      </x:c>
      <x:c r="F1631" s="30" t="str">
        <x:v>uncommon</x:v>
      </x:c>
      <x:c r="G1631" s="30" t="str">
        <x:v>standard</x:v>
      </x:c>
      <x:c r="H1631" s="30" t="str">
        <x:v>year-round</x:v>
      </x:c>
      <x:c r="I16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2">
      <x:c r="A1632" s="36" t="str">
        <x:v>east_africa</x:v>
      </x:c>
      <x:c r="B1632" s="30" t="str">
        <x:v>east-africa-broad-draft-1</x:v>
      </x:c>
      <x:c r="C1632" s="30" t="n">
        <x:v>56559</x:v>
      </x:c>
      <x:c r="D1632" s="32" t="str">
        <x:v>Flowery Rockcod</x:v>
      </x:c>
      <x:c r="E1632" s="32" t="str">
        <x:v>Epinephelus fuscoguttatus</x:v>
      </x:c>
      <x:c r="F1632" s="30" t="str">
        <x:v>rare</x:v>
      </x:c>
      <x:c r="G1632" s="30" t="str">
        <x:v>standard</x:v>
      </x:c>
      <x:c r="H1632" s="30" t="str">
        <x:v>year-round</x:v>
      </x:c>
      <x:c r="I16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3">
      <x:c r="A1633" s="36" t="str">
        <x:v>east_africa</x:v>
      </x:c>
      <x:c r="B1633" s="30" t="str">
        <x:v>east-africa-broad-draft-1</x:v>
      </x:c>
      <x:c r="C1633" s="30" t="n">
        <x:v>196628</x:v>
      </x:c>
      <x:c r="D1633" s="32" t="str">
        <x:v>Shoulderspot Sandgoby</x:v>
      </x:c>
      <x:c r="E1633" s="32" t="str">
        <x:v>Gnatholepis anjerensis</x:v>
      </x:c>
      <x:c r="F1633" s="30" t="str">
        <x:v>rare</x:v>
      </x:c>
      <x:c r="G1633" s="30" t="str">
        <x:v>standard</x:v>
      </x:c>
      <x:c r="H1633" s="30" t="str">
        <x:v>year-round</x:v>
      </x:c>
      <x:c r="I16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4">
      <x:c r="A1634" s="36" t="str">
        <x:v>east_africa</x:v>
      </x:c>
      <x:c r="B1634" s="30" t="str">
        <x:v>east-africa-broad-draft-1</x:v>
      </x:c>
      <x:c r="C1634" s="30" t="n">
        <x:v>52498</x:v>
      </x:c>
      <x:c r="D1634" s="32" t="str">
        <x:v>Palenose Parrotfish</x:v>
      </x:c>
      <x:c r="E1634" s="32" t="str">
        <x:v>Scarus psittacus</x:v>
      </x:c>
      <x:c r="F1634" s="30" t="str">
        <x:v>rare</x:v>
      </x:c>
      <x:c r="G1634" s="30" t="str">
        <x:v>standard</x:v>
      </x:c>
      <x:c r="H1634" s="30" t="str">
        <x:v>year-round</x:v>
      </x:c>
      <x:c r="I16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5">
      <x:c r="A1635" s="36" t="str">
        <x:v>east_africa</x:v>
      </x:c>
      <x:c r="B1635" s="30" t="str">
        <x:v>east-africa-broad-draft-1</x:v>
      </x:c>
      <x:c r="C1635" s="30" t="n">
        <x:v>52460</x:v>
      </x:c>
      <x:c r="D1635" s="32" t="str">
        <x:v>Houndfish</x:v>
      </x:c>
      <x:c r="E1635" s="32" t="str">
        <x:v>Tylosurus crocodilus</x:v>
      </x:c>
      <x:c r="F1635" s="30" t="str">
        <x:v>rare</x:v>
      </x:c>
      <x:c r="G1635" s="30" t="str">
        <x:v>standard</x:v>
      </x:c>
      <x:c r="H1635" s="30" t="str">
        <x:v>year-round</x:v>
      </x:c>
      <x:c r="I16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6">
      <x:c r="A1636" s="36" t="str">
        <x:v>east_africa</x:v>
      </x:c>
      <x:c r="B1636" s="30" t="str">
        <x:v>east-africa-broad-draft-1</x:v>
      </x:c>
      <x:c r="C1636" s="30" t="n">
        <x:v>121597</x:v>
      </x:c>
      <x:c r="D1636" s="32" t="str">
        <x:v>Eyestripe Surgeonfish</x:v>
      </x:c>
      <x:c r="E1636" s="32" t="str">
        <x:v>Acanthurus dussumieri</x:v>
      </x:c>
      <x:c r="F1636" s="30" t="str">
        <x:v>rare</x:v>
      </x:c>
      <x:c r="G1636" s="30" t="str">
        <x:v>standard</x:v>
      </x:c>
      <x:c r="H1636" s="30" t="str">
        <x:v>year-round</x:v>
      </x:c>
      <x:c r="I16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7">
      <x:c r="A1637" s="36" t="str">
        <x:v>east_africa</x:v>
      </x:c>
      <x:c r="B1637" s="30" t="str">
        <x:v>east-africa-broad-draft-1</x:v>
      </x:c>
      <x:c r="C1637" s="30" t="n">
        <x:v>94736</x:v>
      </x:c>
      <x:c r="D1637" s="32" t="str">
        <x:v>Bloyet's Cichlid</x:v>
      </x:c>
      <x:c r="E1637" s="32" t="str">
        <x:v>Astatotilapia bloyeti</x:v>
      </x:c>
      <x:c r="F1637" s="30" t="str">
        <x:v>rare</x:v>
      </x:c>
      <x:c r="G1637" s="30" t="str">
        <x:v>standard</x:v>
      </x:c>
      <x:c r="H1637" s="30" t="str">
        <x:v>year-round</x:v>
      </x:c>
      <x:c r="I16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8">
      <x:c r="A1638" s="36" t="str">
        <x:v>east_africa</x:v>
      </x:c>
      <x:c r="B1638" s="30" t="str">
        <x:v>east-africa-broad-draft-1</x:v>
      </x:c>
      <x:c r="C1638" s="30" t="n">
        <x:v>123690</x:v>
      </x:c>
      <x:c r="D1638" s="32" t="str">
        <x:v>Bluefin Trevally</x:v>
      </x:c>
      <x:c r="E1638" s="32" t="str">
        <x:v>Caranx melampygus</x:v>
      </x:c>
      <x:c r="F1638" s="30" t="str">
        <x:v>rare</x:v>
      </x:c>
      <x:c r="G1638" s="30" t="str">
        <x:v>standard</x:v>
      </x:c>
      <x:c r="H1638" s="30" t="str">
        <x:v>year-round</x:v>
      </x:c>
      <x:c r="I16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39">
      <x:c r="A1639" s="36" t="str">
        <x:v>east_africa</x:v>
      </x:c>
      <x:c r="B1639" s="30" t="str">
        <x:v>east-africa-broad-draft-1</x:v>
      </x:c>
      <x:c r="C1639" s="30" t="n">
        <x:v>83884</x:v>
      </x:c>
      <x:c r="D1639" s="32" t="str">
        <x:v>Lagoon Triggerfish</x:v>
      </x:c>
      <x:c r="E1639" s="32" t="str">
        <x:v>Rhinecanthus aculeatus</x:v>
      </x:c>
      <x:c r="F1639" s="30" t="str">
        <x:v>rare</x:v>
      </x:c>
      <x:c r="G1639" s="30" t="str">
        <x:v>standard</x:v>
      </x:c>
      <x:c r="H1639" s="30" t="str">
        <x:v>year-round</x:v>
      </x:c>
      <x:c r="I16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0">
      <x:c r="A1640" s="36" t="str">
        <x:v>east_africa</x:v>
      </x:c>
      <x:c r="B1640" s="30" t="str">
        <x:v>east-africa-broad-draft-1</x:v>
      </x:c>
      <x:c r="C1640" s="30" t="n">
        <x:v>97207</x:v>
      </x:c>
      <x:c r="D1640" s="32" t="str">
        <x:v>Chevron Butterflyfish</x:v>
      </x:c>
      <x:c r="E1640" s="32" t="str">
        <x:v>Chaetodon trifascialis</x:v>
      </x:c>
      <x:c r="F1640" s="30" t="str">
        <x:v>rare</x:v>
      </x:c>
      <x:c r="G1640" s="30" t="str">
        <x:v>standard</x:v>
      </x:c>
      <x:c r="H1640" s="30" t="str">
        <x:v>year-round</x:v>
      </x:c>
      <x:c r="I16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1">
      <x:c r="A1641" s="36" t="str">
        <x:v>east_africa</x:v>
      </x:c>
      <x:c r="B1641" s="30" t="str">
        <x:v>east-africa-broad-draft-1</x:v>
      </x:c>
      <x:c r="C1641" s="30" t="n">
        <x:v>102579</x:v>
      </x:c>
      <x:c r="D1641" s="32" t="str">
        <x:v>Barred Thicklip</x:v>
      </x:c>
      <x:c r="E1641" s="32" t="str">
        <x:v>Hemigymnus fasciatus</x:v>
      </x:c>
      <x:c r="F1641" s="30" t="str">
        <x:v>rare</x:v>
      </x:c>
      <x:c r="G1641" s="30" t="str">
        <x:v>standard</x:v>
      </x:c>
      <x:c r="H1641" s="30" t="str">
        <x:v>year-round</x:v>
      </x:c>
      <x:c r="I16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2">
      <x:c r="A1642" s="36" t="str">
        <x:v>east_africa</x:v>
      </x:c>
      <x:c r="B1642" s="30" t="str">
        <x:v>east-africa-broad-draft-1</x:v>
      </x:c>
      <x:c r="C1642" s="30" t="n">
        <x:v>180388</x:v>
      </x:c>
      <x:c r="D1642" s="32" t="str">
        <x:v>Indian Sailfin Tang</x:v>
      </x:c>
      <x:c r="E1642" s="32" t="str">
        <x:v>Zebrasoma desjardinii</x:v>
      </x:c>
      <x:c r="F1642" s="30" t="str">
        <x:v>rare</x:v>
      </x:c>
      <x:c r="G1642" s="30" t="str">
        <x:v>standard</x:v>
      </x:c>
      <x:c r="H1642" s="30" t="str">
        <x:v>year-round</x:v>
      </x:c>
      <x:c r="I16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3">
      <x:c r="A1643" s="36" t="str">
        <x:v>east_africa</x:v>
      </x:c>
      <x:c r="B1643" s="30" t="str">
        <x:v>east-africa-broad-draft-1</x:v>
      </x:c>
      <x:c r="C1643" s="30" t="n">
        <x:v>196936</x:v>
      </x:c>
      <x:c r="D1643" s="32" t="str">
        <x:v>Starry Puffer</x:v>
      </x:c>
      <x:c r="E1643" s="32" t="str">
        <x:v>Arothron stellatus</x:v>
      </x:c>
      <x:c r="F1643" s="30" t="str">
        <x:v>rare</x:v>
      </x:c>
      <x:c r="G1643" s="30" t="str">
        <x:v>standard</x:v>
      </x:c>
      <x:c r="H1643" s="30" t="str">
        <x:v>year-round</x:v>
      </x:c>
      <x:c r="I16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4">
      <x:c r="A1644" s="36" t="str">
        <x:v>east_africa</x:v>
      </x:c>
      <x:c r="B1644" s="30" t="str">
        <x:v>east-africa-broad-draft-1</x:v>
      </x:c>
      <x:c r="C1644" s="30" t="n">
        <x:v>136416</x:v>
      </x:c>
      <x:c r="D1644" s="32" t="str">
        <x:v>Reeftop Pipefish</x:v>
      </x:c>
      <x:c r="E1644" s="32" t="str">
        <x:v>Corythoichthys haematopterus</x:v>
      </x:c>
      <x:c r="F1644" s="30" t="str">
        <x:v>rare</x:v>
      </x:c>
      <x:c r="G1644" s="30" t="str">
        <x:v>standard</x:v>
      </x:c>
      <x:c r="H1644" s="30" t="str">
        <x:v>year-round</x:v>
      </x:c>
      <x:c r="I16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5">
      <x:c r="A1645" s="36" t="str">
        <x:v>east_africa</x:v>
      </x:c>
      <x:c r="B1645" s="30" t="str">
        <x:v>east-africa-broad-draft-1</x:v>
      </x:c>
      <x:c r="C1645" s="30" t="n">
        <x:v>180786</x:v>
      </x:c>
      <x:c r="D1645" s="32" t="str">
        <x:v>Harlequin Snake Eel</x:v>
      </x:c>
      <x:c r="E1645" s="32" t="str">
        <x:v>Myrichthys colubrinus</x:v>
      </x:c>
      <x:c r="F1645" s="30" t="str">
        <x:v>rare</x:v>
      </x:c>
      <x:c r="G1645" s="30" t="str">
        <x:v>standard</x:v>
      </x:c>
      <x:c r="H1645" s="30" t="str">
        <x:v>year-round</x:v>
      </x:c>
      <x:c r="I16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6">
      <x:c r="A1646" s="36" t="str">
        <x:v>east_africa</x:v>
      </x:c>
      <x:c r="B1646" s="30" t="str">
        <x:v>east-africa-broad-draft-1</x:v>
      </x:c>
      <x:c r="C1646" s="30" t="n">
        <x:v>121705</x:v>
      </x:c>
      <x:c r="D1646" s="32" t="str">
        <x:v>Lieutenant Surgeonfish</x:v>
      </x:c>
      <x:c r="E1646" s="32" t="str">
        <x:v>Acanthurus tennentii</x:v>
      </x:c>
      <x:c r="F1646" s="30" t="str">
        <x:v>very_rare</x:v>
      </x:c>
      <x:c r="G1646" s="30" t="str">
        <x:v>standard</x:v>
      </x:c>
      <x:c r="H1646" s="30" t="str">
        <x:v>year-round</x:v>
      </x:c>
      <x:c r="I16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7">
      <x:c r="A1647" s="36" t="str">
        <x:v>east_africa</x:v>
      </x:c>
      <x:c r="B1647" s="30" t="str">
        <x:v>east-africa-broad-draft-1</x:v>
      </x:c>
      <x:c r="C1647" s="30" t="n">
        <x:v>415123</x:v>
      </x:c>
      <x:c r="D1647" s="32" t="str">
        <x:v>Yellow-eyed Puffer</x:v>
      </x:c>
      <x:c r="E1647" s="32" t="str">
        <x:v>Arothron immaculatus</x:v>
      </x:c>
      <x:c r="F1647" s="30" t="str">
        <x:v>very_rare</x:v>
      </x:c>
      <x:c r="G1647" s="30" t="str">
        <x:v>standard</x:v>
      </x:c>
      <x:c r="H1647" s="30" t="str">
        <x:v>year-round</x:v>
      </x:c>
      <x:c r="I16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8">
      <x:c r="A1648" s="36" t="str">
        <x:v>east_africa</x:v>
      </x:c>
      <x:c r="B1648" s="30" t="str">
        <x:v>east-africa-broad-draft-1</x:v>
      </x:c>
      <x:c r="C1648" s="30" t="n">
        <x:v>612804</x:v>
      </x:c>
      <x:c r="D1648" s="32" t="str">
        <x:v>Redspot barb</x:v>
      </x:c>
      <x:c r="E1648" s="32" t="str">
        <x:v>Enteromius kerstenii</x:v>
      </x:c>
      <x:c r="F1648" s="30" t="str">
        <x:v>very_rare</x:v>
      </x:c>
      <x:c r="G1648" s="30" t="str">
        <x:v>standard</x:v>
      </x:c>
      <x:c r="H1648" s="30" t="str">
        <x:v>year-round</x:v>
      </x:c>
      <x:c r="I16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49">
      <x:c r="A1649" s="36" t="str">
        <x:v>east_africa</x:v>
      </x:c>
      <x:c r="B1649" s="30" t="str">
        <x:v>east-africa-broad-draft-1</x:v>
      </x:c>
      <x:c r="C1649" s="30" t="n">
        <x:v>100121</x:v>
      </x:c>
      <x:c r="D1649" s="32" t="str">
        <x:v>Honeycomb Grouper</x:v>
      </x:c>
      <x:c r="E1649" s="32" t="str">
        <x:v>Epinephelus merra</x:v>
      </x:c>
      <x:c r="F1649" s="30" t="str">
        <x:v>rare</x:v>
      </x:c>
      <x:c r="G1649" s="30" t="str">
        <x:v>standard</x:v>
      </x:c>
      <x:c r="H1649" s="30" t="str">
        <x:v>year-round</x:v>
      </x:c>
      <x:c r="I16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0">
      <x:c r="A1650" s="36" t="str">
        <x:v>east_africa</x:v>
      </x:c>
      <x:c r="B1650" s="30" t="str">
        <x:v>east-africa-broad-draft-1</x:v>
      </x:c>
      <x:c r="C1650" s="30" t="n">
        <x:v>196904</x:v>
      </x:c>
      <x:c r="D1650" s="32" t="str">
        <x:v>Mimic Filefish</x:v>
      </x:c>
      <x:c r="E1650" s="32" t="str">
        <x:v>Paraluteres prionurus</x:v>
      </x:c>
      <x:c r="F1650" s="30" t="str">
        <x:v>very_rare</x:v>
      </x:c>
      <x:c r="G1650" s="30" t="str">
        <x:v>standard</x:v>
      </x:c>
      <x:c r="H1650" s="30" t="str">
        <x:v>year-round</x:v>
      </x:c>
      <x:c r="I16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1">
      <x:c r="A1651" s="36" t="str">
        <x:v>east_africa</x:v>
      </x:c>
      <x:c r="B1651" s="30" t="str">
        <x:v>east-africa-broad-draft-1</x:v>
      </x:c>
      <x:c r="C1651" s="30" t="n">
        <x:v>68720</x:v>
      </x:c>
      <x:c r="D1651" s="32" t="str">
        <x:v>Barred Mudskipper</x:v>
      </x:c>
      <x:c r="E1651" s="32" t="str">
        <x:v>Periophthalmus argentilineatus</x:v>
      </x:c>
      <x:c r="F1651" s="30" t="str">
        <x:v>rare</x:v>
      </x:c>
      <x:c r="G1651" s="30" t="str">
        <x:v>standard</x:v>
      </x:c>
      <x:c r="H1651" s="30" t="str">
        <x:v>year-round</x:v>
      </x:c>
      <x:c r="I16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2">
      <x:c r="A1652" s="36" t="str">
        <x:v>east_africa</x:v>
      </x:c>
      <x:c r="B1652" s="30" t="str">
        <x:v>east-africa-broad-draft-1</x:v>
      </x:c>
      <x:c r="C1652" s="30" t="n">
        <x:v>134942</x:v>
      </x:c>
      <x:c r="D1652" s="32" t="str">
        <x:v>Common Reed Frog</x:v>
      </x:c>
      <x:c r="E1652" s="32" t="str">
        <x:v>Hyperolius viridiflavus</x:v>
      </x:c>
      <x:c r="F1652" s="30" t="str">
        <x:v>common</x:v>
      </x:c>
      <x:c r="G1652" s="30" t="str">
        <x:v>standard</x:v>
      </x:c>
      <x:c r="H1652" s="30" t="str">
        <x:v>year-round</x:v>
      </x:c>
      <x:c r="I16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3">
      <x:c r="A1653" s="36" t="str">
        <x:v>east_africa</x:v>
      </x:c>
      <x:c r="B1653" s="30" t="str">
        <x:v>east-africa-broad-draft-1</x:v>
      </x:c>
      <x:c r="C1653" s="30" t="n">
        <x:v>517053</x:v>
      </x:c>
      <x:c r="D1653" s="32" t="str">
        <x:v>Guttural Toad</x:v>
      </x:c>
      <x:c r="E1653" s="32" t="str">
        <x:v>Sclerophrys gutturalis</x:v>
      </x:c>
      <x:c r="F1653" s="30" t="str">
        <x:v>common</x:v>
      </x:c>
      <x:c r="G1653" s="30" t="str">
        <x:v>standard</x:v>
      </x:c>
      <x:c r="H1653" s="30" t="str">
        <x:v>year-round</x:v>
      </x:c>
      <x:c r="I16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4">
      <x:c r="A1654" s="36" t="str">
        <x:v>east_africa</x:v>
      </x:c>
      <x:c r="B1654" s="30" t="str">
        <x:v>east-africa-broad-draft-1</x:v>
      </x:c>
      <x:c r="C1654" s="30" t="n">
        <x:v>25778</x:v>
      </x:c>
      <x:c r="D1654" s="32" t="str">
        <x:v>Anchieta's Ridged Frog</x:v>
      </x:c>
      <x:c r="E1654" s="32" t="str">
        <x:v>Ptychadena anchietae</x:v>
      </x:c>
      <x:c r="F1654" s="30" t="str">
        <x:v>common</x:v>
      </x:c>
      <x:c r="G1654" s="30" t="str">
        <x:v>standard</x:v>
      </x:c>
      <x:c r="H1654" s="30" t="str">
        <x:v>year-round</x:v>
      </x:c>
      <x:c r="I16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5">
      <x:c r="A1655" s="36" t="str">
        <x:v>east_africa</x:v>
      </x:c>
      <x:c r="B1655" s="30" t="str">
        <x:v>east-africa-broad-draft-1</x:v>
      </x:c>
      <x:c r="C1655" s="30" t="n">
        <x:v>476664</x:v>
      </x:c>
      <x:c r="D1655" s="32" t="str">
        <x:v>Nile Ridged Frog</x:v>
      </x:c>
      <x:c r="E1655" s="32" t="str">
        <x:v>Ptychadena nilotica</x:v>
      </x:c>
      <x:c r="F1655" s="30" t="str">
        <x:v>common</x:v>
      </x:c>
      <x:c r="G1655" s="30" t="str">
        <x:v>standard</x:v>
      </x:c>
      <x:c r="H1655" s="30" t="str">
        <x:v>year-round</x:v>
      </x:c>
      <x:c r="I16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6">
      <x:c r="A1656" s="36" t="str">
        <x:v>east_africa</x:v>
      </x:c>
      <x:c r="B1656" s="30" t="str">
        <x:v>east-africa-broad-draft-1</x:v>
      </x:c>
      <x:c r="C1656" s="30" t="n">
        <x:v>65731</x:v>
      </x:c>
      <x:c r="D1656" s="32" t="str">
        <x:v>Mainland Reed Frog</x:v>
      </x:c>
      <x:c r="E1656" s="32" t="str">
        <x:v>Hyperolius substriatus</x:v>
      </x:c>
      <x:c r="F1656" s="30" t="str">
        <x:v>common</x:v>
      </x:c>
      <x:c r="G1656" s="30" t="str">
        <x:v>standard</x:v>
      </x:c>
      <x:c r="H1656" s="30" t="str">
        <x:v>year-round</x:v>
      </x:c>
      <x:c r="I16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7">
      <x:c r="A1657" s="36" t="str">
        <x:v>east_africa</x:v>
      </x:c>
      <x:c r="B1657" s="30" t="str">
        <x:v>east-africa-broad-draft-1</x:v>
      </x:c>
      <x:c r="C1657" s="30" t="n">
        <x:v>25383</x:v>
      </x:c>
      <x:c r="D1657" s="32" t="str">
        <x:v>Natal Puddle Frog</x:v>
      </x:c>
      <x:c r="E1657" s="32" t="str">
        <x:v>Phrynobatrachus natalensis</x:v>
      </x:c>
      <x:c r="F1657" s="30" t="str">
        <x:v>common</x:v>
      </x:c>
      <x:c r="G1657" s="30" t="str">
        <x:v>standard</x:v>
      </x:c>
      <x:c r="H1657" s="30" t="str">
        <x:v>year-round</x:v>
      </x:c>
      <x:c r="I16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8">
      <x:c r="A1658" s="36" t="str">
        <x:v>east_africa</x:v>
      </x:c>
      <x:c r="B1658" s="30" t="str">
        <x:v>east-africa-broad-draft-1</x:v>
      </x:c>
      <x:c r="C1658" s="30" t="n">
        <x:v>23512</x:v>
      </x:c>
      <x:c r="D1658" s="32" t="str">
        <x:v>Senegal Running Frog</x:v>
      </x:c>
      <x:c r="E1658" s="32" t="str">
        <x:v>Kassina senegalensis</x:v>
      </x:c>
      <x:c r="F1658" s="30" t="str">
        <x:v>common</x:v>
      </x:c>
      <x:c r="G1658" s="30" t="str">
        <x:v>standard</x:v>
      </x:c>
      <x:c r="H1658" s="30" t="str">
        <x:v>year-round</x:v>
      </x:c>
      <x:c r="I16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59">
      <x:c r="A1659" s="36" t="str">
        <x:v>east_africa</x:v>
      </x:c>
      <x:c r="B1659" s="30" t="str">
        <x:v>east-africa-broad-draft-1</x:v>
      </x:c>
      <x:c r="C1659" s="30" t="n">
        <x:v>23413</x:v>
      </x:c>
      <x:c r="D1659" s="32" t="str">
        <x:v>Peacock Tree Frog</x:v>
      </x:c>
      <x:c r="E1659" s="32" t="str">
        <x:v>Leptopelis vermiculatus</x:v>
      </x:c>
      <x:c r="F1659" s="30" t="str">
        <x:v>common</x:v>
      </x:c>
      <x:c r="G1659" s="30" t="str">
        <x:v>standard</x:v>
      </x:c>
      <x:c r="H1659" s="30" t="str">
        <x:v>year-round</x:v>
      </x:c>
      <x:c r="I16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0">
      <x:c r="A1660" s="36" t="str">
        <x:v>east_africa</x:v>
      </x:c>
      <x:c r="B1660" s="30" t="str">
        <x:v>east-africa-broad-draft-1</x:v>
      </x:c>
      <x:c r="C1660" s="30" t="n">
        <x:v>65061</x:v>
      </x:c>
      <x:c r="D1660" s="32" t="str">
        <x:v>Dwarf Squeaker</x:v>
      </x:c>
      <x:c r="E1660" s="32" t="str">
        <x:v>Arthroleptis xenodactyloides</x:v>
      </x:c>
      <x:c r="F1660" s="30" t="str">
        <x:v>common</x:v>
      </x:c>
      <x:c r="G1660" s="30" t="str">
        <x:v>standard</x:v>
      </x:c>
      <x:c r="H1660" s="30" t="str">
        <x:v>year-round</x:v>
      </x:c>
      <x:c r="I16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1">
      <x:c r="A1661" s="36" t="str">
        <x:v>east_africa</x:v>
      </x:c>
      <x:c r="B1661" s="30" t="str">
        <x:v>east-africa-broad-draft-1</x:v>
      </x:c>
      <x:c r="C1661" s="30" t="n">
        <x:v>23440</x:v>
      </x:c>
      <x:c r="D1661" s="32" t="str">
        <x:v>Yellow-spotted Tree Frog</x:v>
      </x:c>
      <x:c r="E1661" s="32" t="str">
        <x:v>Leptopelis flavomaculatus</x:v>
      </x:c>
      <x:c r="F1661" s="30" t="str">
        <x:v>common</x:v>
      </x:c>
      <x:c r="G1661" s="30" t="str">
        <x:v>standard</x:v>
      </x:c>
      <x:c r="H1661" s="30" t="str">
        <x:v>year-round</x:v>
      </x:c>
      <x:c r="I16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2">
      <x:c r="A1662" s="36" t="str">
        <x:v>east_africa</x:v>
      </x:c>
      <x:c r="B1662" s="30" t="str">
        <x:v>east-africa-broad-draft-1</x:v>
      </x:c>
      <x:c r="C1662" s="30" t="n">
        <x:v>23327</x:v>
      </x:c>
      <x:c r="D1662" s="32" t="str">
        <x:v>argus reed frog</x:v>
      </x:c>
      <x:c r="E1662" s="32" t="str">
        <x:v>Hyperolius argus</x:v>
      </x:c>
      <x:c r="F1662" s="30" t="str">
        <x:v>common</x:v>
      </x:c>
      <x:c r="G1662" s="30" t="str">
        <x:v>standard</x:v>
      </x:c>
      <x:c r="H1662" s="30" t="str">
        <x:v>year-round</x:v>
      </x:c>
      <x:c r="I16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3">
      <x:c r="A1663" s="36" t="str">
        <x:v>east_africa</x:v>
      </x:c>
      <x:c r="B1663" s="30" t="str">
        <x:v>east-africa-broad-draft-1</x:v>
      </x:c>
      <x:c r="C1663" s="30" t="n">
        <x:v>26656</x:v>
      </x:c>
      <x:c r="D1663" s="32" t="str">
        <x:v>Grey Foam-nest Tree Frog</x:v>
      </x:c>
      <x:c r="E1663" s="32" t="str">
        <x:v>Chiromantis xerampelina</x:v>
      </x:c>
      <x:c r="F1663" s="30" t="str">
        <x:v>common</x:v>
      </x:c>
      <x:c r="G1663" s="30" t="str">
        <x:v>standard</x:v>
      </x:c>
      <x:c r="H1663" s="30" t="str">
        <x:v>year-round</x:v>
      </x:c>
      <x:c r="I16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4">
      <x:c r="A1664" s="36" t="str">
        <x:v>east_africa</x:v>
      </x:c>
      <x:c r="B1664" s="30" t="str">
        <x:v>east-africa-broad-draft-1</x:v>
      </x:c>
      <x:c r="C1664" s="30" t="n">
        <x:v>517209</x:v>
      </x:c>
      <x:c r="D1664" s="32" t="str">
        <x:v>Nutt's River Frog</x:v>
      </x:c>
      <x:c r="E1664" s="32" t="str">
        <x:v>Amietia nutti</x:v>
      </x:c>
      <x:c r="F1664" s="30" t="str">
        <x:v>common</x:v>
      </x:c>
      <x:c r="G1664" s="30" t="str">
        <x:v>standard</x:v>
      </x:c>
      <x:c r="H1664" s="30" t="str">
        <x:v>year-round</x:v>
      </x:c>
      <x:c r="I16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5">
      <x:c r="A1665" s="36" t="str">
        <x:v>east_africa</x:v>
      </x:c>
      <x:c r="B1665" s="30" t="str">
        <x:v>east-africa-broad-draft-1</x:v>
      </x:c>
      <x:c r="C1665" s="30" t="n">
        <x:v>23385</x:v>
      </x:c>
      <x:c r="D1665" s="32" t="str">
        <x:v>Peters' Reed Frog</x:v>
      </x:c>
      <x:c r="E1665" s="32" t="str">
        <x:v>Hyperolius glandicolor</x:v>
      </x:c>
      <x:c r="F1665" s="30" t="str">
        <x:v>common</x:v>
      </x:c>
      <x:c r="G1665" s="30" t="str">
        <x:v>standard</x:v>
      </x:c>
      <x:c r="H1665" s="30" t="str">
        <x:v>year-round</x:v>
      </x:c>
      <x:c r="I16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6">
      <x:c r="A1666" s="36" t="str">
        <x:v>east_africa</x:v>
      </x:c>
      <x:c r="B1666" s="30" t="str">
        <x:v>east-africa-broad-draft-1</x:v>
      </x:c>
      <x:c r="C1666" s="30" t="n">
        <x:v>134940</x:v>
      </x:c>
      <x:c r="D1666" s="32" t="str">
        <x:v>Kivu Reed Frog</x:v>
      </x:c>
      <x:c r="E1666" s="32" t="str">
        <x:v>Hyperolius kivuensis</x:v>
      </x:c>
      <x:c r="F1666" s="30" t="str">
        <x:v>common</x:v>
      </x:c>
      <x:c r="G1666" s="30" t="str">
        <x:v>standard</x:v>
      </x:c>
      <x:c r="H1666" s="30" t="str">
        <x:v>year-round</x:v>
      </x:c>
      <x:c r="I16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7">
      <x:c r="A1667" s="36" t="str">
        <x:v>east_africa</x:v>
      </x:c>
      <x:c r="B1667" s="30" t="str">
        <x:v>east-africa-broad-draft-1</x:v>
      </x:c>
      <x:c r="C1667" s="30" t="n">
        <x:v>23455</x:v>
      </x:c>
      <x:c r="D1667" s="32" t="str">
        <x:v>Fornasini's Spiny Reed Frog</x:v>
      </x:c>
      <x:c r="E1667" s="32" t="str">
        <x:v>Afrixalus fornasini</x:v>
      </x:c>
      <x:c r="F1667" s="30" t="str">
        <x:v>common</x:v>
      </x:c>
      <x:c r="G1667" s="30" t="str">
        <x:v>standard</x:v>
      </x:c>
      <x:c r="H1667" s="30" t="str">
        <x:v>year-round</x:v>
      </x:c>
      <x:c r="I16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8">
      <x:c r="A1668" s="36" t="str">
        <x:v>east_africa</x:v>
      </x:c>
      <x:c r="B1668" s="30" t="str">
        <x:v>east-africa-broad-draft-1</x:v>
      </x:c>
      <x:c r="C1668" s="30" t="n">
        <x:v>326305</x:v>
      </x:c>
      <x:c r="D1668" s="32" t="str">
        <x:v>Common Squeaker</x:v>
      </x:c>
      <x:c r="E1668" s="32" t="str">
        <x:v>Arthroleptis stenodactylus</x:v>
      </x:c>
      <x:c r="F1668" s="30" t="str">
        <x:v>common</x:v>
      </x:c>
      <x:c r="G1668" s="30" t="str">
        <x:v>standard</x:v>
      </x:c>
      <x:c r="H1668" s="30" t="str">
        <x:v>year-round</x:v>
      </x:c>
      <x:c r="I16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69">
      <x:c r="A1669" s="36" t="str">
        <x:v>east_africa</x:v>
      </x:c>
      <x:c r="B1669" s="30" t="str">
        <x:v>east-africa-broad-draft-1</x:v>
      </x:c>
      <x:c r="C1669" s="30" t="n">
        <x:v>25362</x:v>
      </x:c>
      <x:c r="D1669" s="32" t="str">
        <x:v>Eastern puddle frog</x:v>
      </x:c>
      <x:c r="E1669" s="32" t="str">
        <x:v>Phrynobatrachus acridoides</x:v>
      </x:c>
      <x:c r="F1669" s="30" t="str">
        <x:v>common</x:v>
      </x:c>
      <x:c r="G1669" s="30" t="str">
        <x:v>standard</x:v>
      </x:c>
      <x:c r="H1669" s="30" t="str">
        <x:v>year-round</x:v>
      </x:c>
      <x:c r="I16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0">
      <x:c r="A1670" s="36" t="str">
        <x:v>east_africa</x:v>
      </x:c>
      <x:c r="B1670" s="30" t="str">
        <x:v>east-africa-broad-draft-1</x:v>
      </x:c>
      <x:c r="C1670" s="30" t="n">
        <x:v>26261</x:v>
      </x:c>
      <x:c r="D1670" s="32" t="str">
        <x:v>Crowned bullfrog</x:v>
      </x:c>
      <x:c r="E1670" s="32" t="str">
        <x:v>Hoplobatrachus occipitalis</x:v>
      </x:c>
      <x:c r="F1670" s="30" t="str">
        <x:v>common</x:v>
      </x:c>
      <x:c r="G1670" s="30" t="str">
        <x:v>standard</x:v>
      </x:c>
      <x:c r="H1670" s="30" t="str">
        <x:v>year-round</x:v>
      </x:c>
      <x:c r="I16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1">
      <x:c r="A1671" s="36" t="str">
        <x:v>east_africa</x:v>
      </x:c>
      <x:c r="B1671" s="30" t="str">
        <x:v>east-africa-broad-draft-1</x:v>
      </x:c>
      <x:c r="C1671" s="30" t="n">
        <x:v>517052</x:v>
      </x:c>
      <x:c r="D1671" s="32" t="str">
        <x:v>Garman's Toad</x:v>
      </x:c>
      <x:c r="E1671" s="32" t="str">
        <x:v>Sclerophrys garmani</x:v>
      </x:c>
      <x:c r="F1671" s="30" t="str">
        <x:v>common</x:v>
      </x:c>
      <x:c r="G1671" s="30" t="str">
        <x:v>standard</x:v>
      </x:c>
      <x:c r="H1671" s="30" t="str">
        <x:v>year-round</x:v>
      </x:c>
      <x:c r="I16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2">
      <x:c r="A1672" s="36" t="str">
        <x:v>east_africa</x:v>
      </x:c>
      <x:c r="B1672" s="30" t="str">
        <x:v>east-africa-broad-draft-1</x:v>
      </x:c>
      <x:c r="C1672" s="30" t="n">
        <x:v>24899</x:v>
      </x:c>
      <x:c r="D1672" s="32" t="str">
        <x:v>Red-Banded Rubber Frog</x:v>
      </x:c>
      <x:c r="E1672" s="32" t="str">
        <x:v>Phrynomantis bifasciatus</x:v>
      </x:c>
      <x:c r="F1672" s="30" t="str">
        <x:v>common</x:v>
      </x:c>
      <x:c r="G1672" s="30" t="str">
        <x:v>standard</x:v>
      </x:c>
      <x:c r="H1672" s="30" t="str">
        <x:v>year-round</x:v>
      </x:c>
      <x:c r="I16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3">
      <x:c r="A1673" s="36" t="str">
        <x:v>east_africa</x:v>
      </x:c>
      <x:c r="B1673" s="30" t="str">
        <x:v>east-africa-broad-draft-1</x:v>
      </x:c>
      <x:c r="C1673" s="30" t="n">
        <x:v>23342</x:v>
      </x:c>
      <x:c r="D1673" s="32" t="str">
        <x:v>Tinker Reed Frog</x:v>
      </x:c>
      <x:c r="E1673" s="32" t="str">
        <x:v>Hyperolius tuberilinguis</x:v>
      </x:c>
      <x:c r="F1673" s="30" t="str">
        <x:v>common</x:v>
      </x:c>
      <x:c r="G1673" s="30" t="str">
        <x:v>standard</x:v>
      </x:c>
      <x:c r="H1673" s="30" t="str">
        <x:v>year-round</x:v>
      </x:c>
      <x:c r="I16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4">
      <x:c r="A1674" s="36" t="str">
        <x:v>east_africa</x:v>
      </x:c>
      <x:c r="B1674" s="30" t="str">
        <x:v>east-africa-broad-draft-1</x:v>
      </x:c>
      <x:c r="C1674" s="30" t="n">
        <x:v>25459</x:v>
      </x:c>
      <x:c r="D1674" s="32" t="str">
        <x:v>Müller's Clawed Frog</x:v>
      </x:c>
      <x:c r="E1674" s="32" t="str">
        <x:v>Xenopus muelleri</x:v>
      </x:c>
      <x:c r="F1674" s="30" t="str">
        <x:v>common</x:v>
      </x:c>
      <x:c r="G1674" s="30" t="str">
        <x:v>standard</x:v>
      </x:c>
      <x:c r="H1674" s="30" t="str">
        <x:v>year-round</x:v>
      </x:c>
      <x:c r="I16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5">
      <x:c r="A1675" s="36" t="str">
        <x:v>east_africa</x:v>
      </x:c>
      <x:c r="B1675" s="30" t="str">
        <x:v>east-africa-broad-draft-1</x:v>
      </x:c>
      <x:c r="C1675" s="30" t="n">
        <x:v>64917</x:v>
      </x:c>
      <x:c r="D1675" s="32" t="str">
        <x:v>Amani River Frog</x:v>
      </x:c>
      <x:c r="E1675" s="32" t="str">
        <x:v>Amietia tenuoplicata</x:v>
      </x:c>
      <x:c r="F1675" s="30" t="str">
        <x:v>common</x:v>
      </x:c>
      <x:c r="G1675" s="30" t="str">
        <x:v>standard</x:v>
      </x:c>
      <x:c r="H1675" s="30" t="str">
        <x:v>year-round</x:v>
      </x:c>
      <x:c r="I16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6">
      <x:c r="A1676" s="36" t="str">
        <x:v>east_africa</x:v>
      </x:c>
      <x:c r="B1676" s="30" t="str">
        <x:v>east-africa-broad-draft-1</x:v>
      </x:c>
      <x:c r="C1676" s="30" t="n">
        <x:v>517057</x:v>
      </x:c>
      <x:c r="D1676" s="32" t="str">
        <x:v>Eastern Flat-backed Toad</x:v>
      </x:c>
      <x:c r="E1676" s="32" t="str">
        <x:v>Sclerophrys pusilla</x:v>
      </x:c>
      <x:c r="F1676" s="30" t="str">
        <x:v>common</x:v>
      </x:c>
      <x:c r="G1676" s="30" t="str">
        <x:v>standard</x:v>
      </x:c>
      <x:c r="H1676" s="30" t="str">
        <x:v>year-round</x:v>
      </x:c>
      <x:c r="I16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7">
      <x:c r="A1677" s="36" t="str">
        <x:v>east_africa</x:v>
      </x:c>
      <x:c r="B1677" s="30" t="str">
        <x:v>east-africa-broad-draft-1</x:v>
      </x:c>
      <x:c r="C1677" s="30" t="n">
        <x:v>26655</x:v>
      </x:c>
      <x:c r="D1677" s="32" t="str">
        <x:v>Peters' Foam-nest Tree Frog</x:v>
      </x:c>
      <x:c r="E1677" s="32" t="str">
        <x:v>Chiromantis petersii</x:v>
      </x:c>
      <x:c r="F1677" s="30" t="str">
        <x:v>common</x:v>
      </x:c>
      <x:c r="G1677" s="30" t="str">
        <x:v>standard</x:v>
      </x:c>
      <x:c r="H1677" s="30" t="str">
        <x:v>year-round</x:v>
      </x:c>
      <x:c r="I16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8">
      <x:c r="A1678" s="36" t="str">
        <x:v>east_africa</x:v>
      </x:c>
      <x:c r="B1678" s="30" t="str">
        <x:v>east-africa-broad-draft-1</x:v>
      </x:c>
      <x:c r="C1678" s="30" t="n">
        <x:v>23450</x:v>
      </x:c>
      <x:c r="D1678" s="32" t="str">
        <x:v>Delicate Spiny Reed Frog</x:v>
      </x:c>
      <x:c r="E1678" s="32" t="str">
        <x:v>Afrixalus delicatus</x:v>
      </x:c>
      <x:c r="F1678" s="30" t="str">
        <x:v>common</x:v>
      </x:c>
      <x:c r="G1678" s="30" t="str">
        <x:v>standard</x:v>
      </x:c>
      <x:c r="H1678" s="30" t="str">
        <x:v>year-round</x:v>
      </x:c>
      <x:c r="I16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79">
      <x:c r="A1679" s="36" t="str">
        <x:v>east_africa</x:v>
      </x:c>
      <x:c r="B1679" s="30" t="str">
        <x:v>east-africa-broad-draft-1</x:v>
      </x:c>
      <x:c r="C1679" s="30" t="n">
        <x:v>24462</x:v>
      </x:c>
      <x:c r="D1679" s="32" t="str">
        <x:v>Mottled Shovel-nosed Frog</x:v>
      </x:c>
      <x:c r="E1679" s="32" t="str">
        <x:v>Hemisus marmoratus</x:v>
      </x:c>
      <x:c r="F1679" s="30" t="str">
        <x:v>common</x:v>
      </x:c>
      <x:c r="G1679" s="30" t="str">
        <x:v>standard</x:v>
      </x:c>
      <x:c r="H1679" s="30" t="str">
        <x:v>year-round</x:v>
      </x:c>
      <x:c r="I16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0">
      <x:c r="A1680" s="36" t="str">
        <x:v>east_africa</x:v>
      </x:c>
      <x:c r="B1680" s="30" t="str">
        <x:v>east-africa-broad-draft-1</x:v>
      </x:c>
      <x:c r="C1680" s="30" t="n">
        <x:v>517048</x:v>
      </x:c>
      <x:c r="D1680" s="32" t="str">
        <x:v>Egyptian Toad</x:v>
      </x:c>
      <x:c r="E1680" s="32" t="str">
        <x:v>Sclerophrys regularis</x:v>
      </x:c>
      <x:c r="F1680" s="30" t="str">
        <x:v>common</x:v>
      </x:c>
      <x:c r="G1680" s="30" t="str">
        <x:v>standard</x:v>
      </x:c>
      <x:c r="H1680" s="30" t="str">
        <x:v>year-round</x:v>
      </x:c>
      <x:c r="I16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1">
      <x:c r="A1681" s="36" t="str">
        <x:v>east_africa</x:v>
      </x:c>
      <x:c r="B1681" s="30" t="str">
        <x:v>east-africa-broad-draft-1</x:v>
      </x:c>
      <x:c r="C1681" s="30" t="n">
        <x:v>23343</x:v>
      </x:c>
      <x:c r="D1681" s="32" t="str">
        <x:v>Parker's Reed Frog</x:v>
      </x:c>
      <x:c r="E1681" s="32" t="str">
        <x:v>Hyperolius parkeri</x:v>
      </x:c>
      <x:c r="F1681" s="30" t="str">
        <x:v>common</x:v>
      </x:c>
      <x:c r="G1681" s="30" t="str">
        <x:v>standard</x:v>
      </x:c>
      <x:c r="H1681" s="30" t="str">
        <x:v>year-round</x:v>
      </x:c>
      <x:c r="I16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2">
      <x:c r="A1682" s="36" t="str">
        <x:v>east_africa</x:v>
      </x:c>
      <x:c r="B1682" s="30" t="str">
        <x:v>east-africa-broad-draft-1</x:v>
      </x:c>
      <x:c r="C1682" s="30" t="n">
        <x:v>25451</x:v>
      </x:c>
      <x:c r="D1682" s="32" t="str">
        <x:v>Marsabit Clawed Frog</x:v>
      </x:c>
      <x:c r="E1682" s="32" t="str">
        <x:v>Xenopus borealis</x:v>
      </x:c>
      <x:c r="F1682" s="30" t="str">
        <x:v>common</x:v>
      </x:c>
      <x:c r="G1682" s="30" t="str">
        <x:v>standard</x:v>
      </x:c>
      <x:c r="H1682" s="30" t="str">
        <x:v>year-round</x:v>
      </x:c>
      <x:c r="I16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3">
      <x:c r="A1683" s="36" t="str">
        <x:v>east_africa</x:v>
      </x:c>
      <x:c r="B1683" s="30" t="str">
        <x:v>east-africa-broad-draft-1</x:v>
      </x:c>
      <x:c r="C1683" s="30" t="n">
        <x:v>517208</x:v>
      </x:c>
      <x:c r="D1683" s="32" t="str">
        <x:v>Kisolo Toad</x:v>
      </x:c>
      <x:c r="E1683" s="32" t="str">
        <x:v>Sclerophrys kisoloensis</x:v>
      </x:c>
      <x:c r="F1683" s="30" t="str">
        <x:v>common</x:v>
      </x:c>
      <x:c r="G1683" s="30" t="str">
        <x:v>standard</x:v>
      </x:c>
      <x:c r="H1683" s="30" t="str">
        <x:v>year-round</x:v>
      </x:c>
      <x:c r="I16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4">
      <x:c r="A1684" s="36" t="str">
        <x:v>east_africa</x:v>
      </x:c>
      <x:c r="B1684" s="30" t="str">
        <x:v>east-africa-broad-draft-1</x:v>
      </x:c>
      <x:c r="C1684" s="30" t="n">
        <x:v>23411</x:v>
      </x:c>
      <x:c r="D1684" s="32" t="str">
        <x:v>Ruby-eyed Tree Frog</x:v>
      </x:c>
      <x:c r="E1684" s="32" t="str">
        <x:v>Leptopelis uluguruensis</x:v>
      </x:c>
      <x:c r="F1684" s="30" t="str">
        <x:v>common</x:v>
      </x:c>
      <x:c r="G1684" s="30" t="str">
        <x:v>standard</x:v>
      </x:c>
      <x:c r="H1684" s="30" t="str">
        <x:v>year-round</x:v>
      </x:c>
      <x:c r="I16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5">
      <x:c r="A1685" s="36" t="str">
        <x:v>east_africa</x:v>
      </x:c>
      <x:c r="B1685" s="30" t="str">
        <x:v>east-africa-broad-draft-1</x:v>
      </x:c>
      <x:c r="C1685" s="30" t="n">
        <x:v>23423</x:v>
      </x:c>
      <x:c r="D1685" s="32" t="str">
        <x:v>Bocage's Tree Frog</x:v>
      </x:c>
      <x:c r="E1685" s="32" t="str">
        <x:v>Leptopelis bocagii</x:v>
      </x:c>
      <x:c r="F1685" s="30" t="str">
        <x:v>common</x:v>
      </x:c>
      <x:c r="G1685" s="30" t="str">
        <x:v>standard</x:v>
      </x:c>
      <x:c r="H1685" s="30" t="str">
        <x:v>year-round</x:v>
      </x:c>
      <x:c r="I16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6">
      <x:c r="A1686" s="36" t="str">
        <x:v>east_africa</x:v>
      </x:c>
      <x:c r="B1686" s="30" t="str">
        <x:v>east-africa-broad-draft-1</x:v>
      </x:c>
      <x:c r="C1686" s="30" t="n">
        <x:v>24594</x:v>
      </x:c>
      <x:c r="D1686" s="32" t="str">
        <x:v>Ahl's Squeaker</x:v>
      </x:c>
      <x:c r="E1686" s="32" t="str">
        <x:v>Arthroleptis affinis</x:v>
      </x:c>
      <x:c r="F1686" s="30" t="str">
        <x:v>common</x:v>
      </x:c>
      <x:c r="G1686" s="30" t="str">
        <x:v>standard</x:v>
      </x:c>
      <x:c r="H1686" s="30" t="str">
        <x:v>year-round</x:v>
      </x:c>
      <x:c r="I16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7">
      <x:c r="A1687" s="36" t="str">
        <x:v>east_africa</x:v>
      </x:c>
      <x:c r="B1687" s="30" t="str">
        <x:v>east-africa-broad-draft-1</x:v>
      </x:c>
      <x:c r="C1687" s="30" t="n">
        <x:v>23323</x:v>
      </x:c>
      <x:c r="D1687" s="32" t="str">
        <x:v>Water Lily Reed Frog</x:v>
      </x:c>
      <x:c r="E1687" s="32" t="str">
        <x:v>Hyperolius pusillus</x:v>
      </x:c>
      <x:c r="F1687" s="30" t="str">
        <x:v>common</x:v>
      </x:c>
      <x:c r="G1687" s="30" t="str">
        <x:v>standard</x:v>
      </x:c>
      <x:c r="H1687" s="30" t="str">
        <x:v>year-round</x:v>
      </x:c>
      <x:c r="I16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8">
      <x:c r="A1688" s="36" t="str">
        <x:v>east_africa</x:v>
      </x:c>
      <x:c r="B1688" s="30" t="str">
        <x:v>east-africa-broad-draft-1</x:v>
      </x:c>
      <x:c r="C1688" s="30" t="n">
        <x:v>464519</x:v>
      </x:c>
      <x:c r="D1688" s="32" t="str">
        <x:v>Howell's Reed Frog</x:v>
      </x:c>
      <x:c r="E1688" s="32" t="str">
        <x:v>Hyperolius howelli</x:v>
      </x:c>
      <x:c r="F1688" s="30" t="str">
        <x:v>common</x:v>
      </x:c>
      <x:c r="G1688" s="30" t="str">
        <x:v>standard</x:v>
      </x:c>
      <x:c r="H1688" s="30" t="str">
        <x:v>year-round</x:v>
      </x:c>
      <x:c r="I16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89">
      <x:c r="A1689" s="36" t="str">
        <x:v>east_africa</x:v>
      </x:c>
      <x:c r="B1689" s="30" t="str">
        <x:v>east-africa-broad-draft-1</x:v>
      </x:c>
      <x:c r="C1689" s="30" t="n">
        <x:v>517049</x:v>
      </x:c>
      <x:c r="D1689" s="32" t="str">
        <x:v>Subdesert Toad</x:v>
      </x:c>
      <x:c r="E1689" s="32" t="str">
        <x:v>Sclerophrys xeros</x:v>
      </x:c>
      <x:c r="F1689" s="30" t="str">
        <x:v>common</x:v>
      </x:c>
      <x:c r="G1689" s="30" t="str">
        <x:v>standard</x:v>
      </x:c>
      <x:c r="H1689" s="30" t="str">
        <x:v>year-round</x:v>
      </x:c>
      <x:c r="I16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0">
      <x:c r="A1690" s="36" t="str">
        <x:v>east_africa</x:v>
      </x:c>
      <x:c r="B1690" s="30" t="str">
        <x:v>east-africa-broad-draft-1</x:v>
      </x:c>
      <x:c r="C1690" s="30" t="n">
        <x:v>23339</x:v>
      </x:c>
      <x:c r="D1690" s="32" t="str">
        <x:v>Mitchell's Reed Frog</x:v>
      </x:c>
      <x:c r="E1690" s="32" t="str">
        <x:v>Hyperolius mitchelli</x:v>
      </x:c>
      <x:c r="F1690" s="30" t="str">
        <x:v>common</x:v>
      </x:c>
      <x:c r="G1690" s="30" t="str">
        <x:v>standard</x:v>
      </x:c>
      <x:c r="H1690" s="30" t="str">
        <x:v>year-round</x:v>
      </x:c>
      <x:c r="I16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1">
      <x:c r="A1691" s="36" t="str">
        <x:v>east_africa</x:v>
      </x:c>
      <x:c r="B1691" s="30" t="str">
        <x:v>east-africa-broad-draft-1</x:v>
      </x:c>
      <x:c r="C1691" s="30" t="n">
        <x:v>21851</x:v>
      </x:c>
      <x:c r="D1691" s="32" t="str">
        <x:v>Loveridges Snouted Toad</x:v>
      </x:c>
      <x:c r="E1691" s="32" t="str">
        <x:v>Mertensophryne micranotis</x:v>
      </x:c>
      <x:c r="F1691" s="30" t="str">
        <x:v>common</x:v>
      </x:c>
      <x:c r="G1691" s="30" t="str">
        <x:v>standard</x:v>
      </x:c>
      <x:c r="H1691" s="30" t="str">
        <x:v>year-round</x:v>
      </x:c>
      <x:c r="I16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2">
      <x:c r="A1692" s="36" t="str">
        <x:v>east_africa</x:v>
      </x:c>
      <x:c r="B1692" s="30" t="str">
        <x:v>east-africa-broad-draft-1</x:v>
      </x:c>
      <x:c r="C1692" s="30" t="n">
        <x:v>64835</x:v>
      </x:c>
      <x:c r="D1692" s="32" t="str">
        <x:v>Four-lined Spiny Reed Frog</x:v>
      </x:c>
      <x:c r="E1692" s="32" t="str">
        <x:v>Afrixalus quadrivittatus</x:v>
      </x:c>
      <x:c r="F1692" s="30" t="str">
        <x:v>common</x:v>
      </x:c>
      <x:c r="G1692" s="30" t="str">
        <x:v>standard</x:v>
      </x:c>
      <x:c r="H1692" s="30" t="str">
        <x:v>year-round</x:v>
      </x:c>
      <x:c r="I16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3">
      <x:c r="A1693" s="36" t="str">
        <x:v>east_africa</x:v>
      </x:c>
      <x:c r="B1693" s="30" t="str">
        <x:v>east-africa-broad-draft-1</x:v>
      </x:c>
      <x:c r="C1693" s="30" t="n">
        <x:v>23405</x:v>
      </x:c>
      <x:c r="D1693" s="32" t="str">
        <x:v>Kisenyi Forest Tree Frog</x:v>
      </x:c>
      <x:c r="E1693" s="32" t="str">
        <x:v>Leptopelis kivuensis</x:v>
      </x:c>
      <x:c r="F1693" s="30" t="str">
        <x:v>common</x:v>
      </x:c>
      <x:c r="G1693" s="30" t="str">
        <x:v>standard</x:v>
      </x:c>
      <x:c r="H1693" s="30" t="str">
        <x:v>year-round</x:v>
      </x:c>
      <x:c r="I16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4">
      <x:c r="A1694" s="36" t="str">
        <x:v>east_africa</x:v>
      </x:c>
      <x:c r="B1694" s="30" t="str">
        <x:v>east-africa-broad-draft-1</x:v>
      </x:c>
      <x:c r="C1694" s="30" t="n">
        <x:v>25369</x:v>
      </x:c>
      <x:c r="D1694" s="32" t="str">
        <x:v>Mababe puddle frog</x:v>
      </x:c>
      <x:c r="E1694" s="32" t="str">
        <x:v>Phrynobatrachus mababiensis</x:v>
      </x:c>
      <x:c r="F1694" s="30" t="str">
        <x:v>common</x:v>
      </x:c>
      <x:c r="G1694" s="30" t="str">
        <x:v>standard</x:v>
      </x:c>
      <x:c r="H1694" s="30" t="str">
        <x:v>year-round</x:v>
      </x:c>
      <x:c r="I16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5">
      <x:c r="A1695" s="36" t="str">
        <x:v>east_africa</x:v>
      </x:c>
      <x:c r="B1695" s="30" t="str">
        <x:v>east-africa-broad-draft-1</x:v>
      </x:c>
      <x:c r="C1695" s="30" t="n">
        <x:v>1250330</x:v>
      </x:c>
      <x:c r="D1695" s="32" t="str">
        <x:v>Red-legged Wot-wot</x:v>
      </x:c>
      <x:c r="E1695" s="32" t="str">
        <x:v>Hylambates maculatus</x:v>
      </x:c>
      <x:c r="F1695" s="30" t="str">
        <x:v>common</x:v>
      </x:c>
      <x:c r="G1695" s="30" t="str">
        <x:v>standard</x:v>
      </x:c>
      <x:c r="H1695" s="30" t="str">
        <x:v>year-round</x:v>
      </x:c>
      <x:c r="I16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6">
      <x:c r="A1696" s="36" t="str">
        <x:v>east_africa</x:v>
      </x:c>
      <x:c r="B1696" s="30" t="str">
        <x:v>east-africa-broad-draft-1</x:v>
      </x:c>
      <x:c r="C1696" s="30" t="n">
        <x:v>25744</x:v>
      </x:c>
      <x:c r="D1696" s="32" t="str">
        <x:v>Sharp-nosed ridged frog</x:v>
      </x:c>
      <x:c r="E1696" s="32" t="str">
        <x:v>Ptychadena oxyrhynchus</x:v>
      </x:c>
      <x:c r="F1696" s="30" t="str">
        <x:v>common</x:v>
      </x:c>
      <x:c r="G1696" s="30" t="str">
        <x:v>standard</x:v>
      </x:c>
      <x:c r="H1696" s="30" t="str">
        <x:v>year-round</x:v>
      </x:c>
      <x:c r="I16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7">
      <x:c r="A1697" s="36" t="str">
        <x:v>east_africa</x:v>
      </x:c>
      <x:c r="B1697" s="30" t="str">
        <x:v>east-africa-broad-draft-1</x:v>
      </x:c>
      <x:c r="C1697" s="30" t="n">
        <x:v>23382</x:v>
      </x:c>
      <x:c r="D1697" s="32" t="str">
        <x:v>Variable Reed Frog</x:v>
      </x:c>
      <x:c r="E1697" s="32" t="str">
        <x:v>Hyperolius pictus</x:v>
      </x:c>
      <x:c r="F1697" s="30" t="str">
        <x:v>common</x:v>
      </x:c>
      <x:c r="G1697" s="30" t="str">
        <x:v>standard</x:v>
      </x:c>
      <x:c r="H1697" s="30" t="str">
        <x:v>year-round</x:v>
      </x:c>
      <x:c r="I16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8">
      <x:c r="A1698" s="36" t="str">
        <x:v>east_africa</x:v>
      </x:c>
      <x:c r="B1698" s="30" t="str">
        <x:v>east-africa-broad-draft-1</x:v>
      </x:c>
      <x:c r="C1698" s="30" t="n">
        <x:v>25164</x:v>
      </x:c>
      <x:c r="D1698" s="32" t="str">
        <x:v>Krefft's Warty Frog</x:v>
      </x:c>
      <x:c r="E1698" s="32" t="str">
        <x:v>Callulina kreffti</x:v>
      </x:c>
      <x:c r="F1698" s="30" t="str">
        <x:v>common</x:v>
      </x:c>
      <x:c r="G1698" s="30" t="str">
        <x:v>standard</x:v>
      </x:c>
      <x:c r="H1698" s="30" t="str">
        <x:v>year-round</x:v>
      </x:c>
      <x:c r="I16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699">
      <x:c r="A1699" s="36" t="str">
        <x:v>east_africa</x:v>
      </x:c>
      <x:c r="B1699" s="30" t="str">
        <x:v>east-africa-broad-draft-1</x:v>
      </x:c>
      <x:c r="C1699" s="30" t="n">
        <x:v>66425</x:v>
      </x:c>
      <x:c r="D1699" s="32" t="str">
        <x:v>Phrynobatrachus ungujae</x:v>
      </x:c>
      <x:c r="E1699" s="32" t="str">
        <x:v>Phrynobatrachus ungujae</x:v>
      </x:c>
      <x:c r="F1699" s="30" t="str">
        <x:v>common</x:v>
      </x:c>
      <x:c r="G1699" s="30" t="str">
        <x:v>standard</x:v>
      </x:c>
      <x:c r="H1699" s="30" t="str">
        <x:v>year-round</x:v>
      </x:c>
      <x:c r="I16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0">
      <x:c r="A1700" s="36" t="str">
        <x:v>east_africa</x:v>
      </x:c>
      <x:c r="B1700" s="30" t="str">
        <x:v>east-africa-broad-draft-1</x:v>
      </x:c>
      <x:c r="C1700" s="30" t="n">
        <x:v>23366</x:v>
      </x:c>
      <x:c r="D1700" s="32" t="str">
        <x:v>Angolan Reed Frog</x:v>
      </x:c>
      <x:c r="E1700" s="32" t="str">
        <x:v>Hyperolius parallelus</x:v>
      </x:c>
      <x:c r="F1700" s="30" t="str">
        <x:v>uncommon</x:v>
      </x:c>
      <x:c r="G1700" s="30" t="str">
        <x:v>standard</x:v>
      </x:c>
      <x:c r="H1700" s="30" t="str">
        <x:v>year-round</x:v>
      </x:c>
      <x:c r="I17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1">
      <x:c r="A1701" s="36" t="str">
        <x:v>east_africa</x:v>
      </x:c>
      <x:c r="B1701" s="30" t="str">
        <x:v>east-africa-broad-draft-1</x:v>
      </x:c>
      <x:c r="C1701" s="30" t="n">
        <x:v>23288</x:v>
      </x:c>
      <x:c r="D1701" s="32" t="str">
        <x:v>Shimba Hills Reed Frog</x:v>
      </x:c>
      <x:c r="E1701" s="32" t="str">
        <x:v>Hyperolius rubrovermiculatus</x:v>
      </x:c>
      <x:c r="F1701" s="30" t="str">
        <x:v>uncommon</x:v>
      </x:c>
      <x:c r="G1701" s="30" t="str">
        <x:v>standard</x:v>
      </x:c>
      <x:c r="H1701" s="30" t="str">
        <x:v>year-round</x:v>
      </x:c>
      <x:c r="I17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2">
      <x:c r="A1702" s="36" t="str">
        <x:v>east_africa</x:v>
      </x:c>
      <x:c r="B1702" s="30" t="str">
        <x:v>east-africa-broad-draft-1</x:v>
      </x:c>
      <x:c r="C1702" s="30" t="n">
        <x:v>25350</x:v>
      </x:c>
      <x:c r="D1702" s="32" t="str">
        <x:v>Phrynobatrachus stewartae</x:v>
      </x:c>
      <x:c r="E1702" s="32" t="str">
        <x:v>Phrynobatrachus stewartae</x:v>
      </x:c>
      <x:c r="F1702" s="30" t="str">
        <x:v>uncommon</x:v>
      </x:c>
      <x:c r="G1702" s="30" t="str">
        <x:v>standard</x:v>
      </x:c>
      <x:c r="H1702" s="30" t="str">
        <x:v>year-round</x:v>
      </x:c>
      <x:c r="I17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3">
      <x:c r="A1703" s="36" t="str">
        <x:v>east_africa</x:v>
      </x:c>
      <x:c r="B1703" s="30" t="str">
        <x:v>east-africa-broad-draft-1</x:v>
      </x:c>
      <x:c r="C1703" s="30" t="n">
        <x:v>26197</x:v>
      </x:c>
      <x:c r="D1703" s="32" t="str">
        <x:v>Edible bullfrog</x:v>
      </x:c>
      <x:c r="E1703" s="32" t="str">
        <x:v>Pyxicephalus edulis</x:v>
      </x:c>
      <x:c r="F1703" s="30" t="str">
        <x:v>uncommon</x:v>
      </x:c>
      <x:c r="G1703" s="30" t="str">
        <x:v>standard</x:v>
      </x:c>
      <x:c r="H1703" s="30" t="str">
        <x:v>year-round</x:v>
      </x:c>
      <x:c r="I17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4">
      <x:c r="A1704" s="36" t="str">
        <x:v>east_africa</x:v>
      </x:c>
      <x:c r="B1704" s="30" t="str">
        <x:v>east-africa-broad-draft-1</x:v>
      </x:c>
      <x:c r="C1704" s="30" t="n">
        <x:v>134831</x:v>
      </x:c>
      <x:c r="D1704" s="32" t="str">
        <x:v>Kachowski's Sand Frog</x:v>
      </x:c>
      <x:c r="E1704" s="32" t="str">
        <x:v>Tomopterna kachowskii</x:v>
      </x:c>
      <x:c r="F1704" s="30" t="str">
        <x:v>uncommon</x:v>
      </x:c>
      <x:c r="G1704" s="30" t="str">
        <x:v>standard</x:v>
      </x:c>
      <x:c r="H1704" s="30" t="str">
        <x:v>year-round</x:v>
      </x:c>
      <x:c r="I17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5">
      <x:c r="A1705" s="36" t="str">
        <x:v>east_africa</x:v>
      </x:c>
      <x:c r="B1705" s="30" t="str">
        <x:v>east-africa-broad-draft-1</x:v>
      </x:c>
      <x:c r="C1705" s="30" t="n">
        <x:v>23371</x:v>
      </x:c>
      <x:c r="D1705" s="32" t="str">
        <x:v>Maria's Reed Frog</x:v>
      </x:c>
      <x:c r="E1705" s="32" t="str">
        <x:v>Hyperolius mariae</x:v>
      </x:c>
      <x:c r="F1705" s="30" t="str">
        <x:v>uncommon</x:v>
      </x:c>
      <x:c r="G1705" s="30" t="str">
        <x:v>standard</x:v>
      </x:c>
      <x:c r="H1705" s="30" t="str">
        <x:v>year-round</x:v>
      </x:c>
      <x:c r="I17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6">
      <x:c r="A1706" s="36" t="str">
        <x:v>east_africa</x:v>
      </x:c>
      <x:c r="B1706" s="30" t="str">
        <x:v>east-africa-broad-draft-1</x:v>
      </x:c>
      <x:c r="C1706" s="30" t="n">
        <x:v>25457</x:v>
      </x:c>
      <x:c r="D1706" s="32" t="str">
        <x:v>African Clawed Frog</x:v>
      </x:c>
      <x:c r="E1706" s="32" t="str">
        <x:v>Xenopus laevis</x:v>
      </x:c>
      <x:c r="F1706" s="30" t="str">
        <x:v>uncommon</x:v>
      </x:c>
      <x:c r="G1706" s="30" t="str">
        <x:v>standard</x:v>
      </x:c>
      <x:c r="H1706" s="30" t="str">
        <x:v>year-round</x:v>
      </x:c>
      <x:c r="I17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7">
      <x:c r="A1707" s="36" t="str">
        <x:v>east_africa</x:v>
      </x:c>
      <x:c r="B1707" s="30" t="str">
        <x:v>east-africa-broad-draft-1</x:v>
      </x:c>
      <x:c r="C1707" s="30" t="n">
        <x:v>64834</x:v>
      </x:c>
      <x:c r="D1707" s="32" t="str">
        <x:v>Spotted Spiny Reed Frog</x:v>
      </x:c>
      <x:c r="E1707" s="32" t="str">
        <x:v>Afrixalus dorsimaculatus</x:v>
      </x:c>
      <x:c r="F1707" s="30" t="str">
        <x:v>uncommon</x:v>
      </x:c>
      <x:c r="G1707" s="30" t="str">
        <x:v>standard</x:v>
      </x:c>
      <x:c r="H1707" s="30" t="str">
        <x:v>year-round</x:v>
      </x:c>
      <x:c r="I17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8">
      <x:c r="A1708" s="36" t="str">
        <x:v>east_africa</x:v>
      </x:c>
      <x:c r="B1708" s="30" t="str">
        <x:v>east-africa-broad-draft-1</x:v>
      </x:c>
      <x:c r="C1708" s="30" t="n">
        <x:v>23412</x:v>
      </x:c>
      <x:c r="D1708" s="32" t="str">
        <x:v>Parker’s Forest Tree Frog</x:v>
      </x:c>
      <x:c r="E1708" s="32" t="str">
        <x:v>Leptopelis parkeri</x:v>
      </x:c>
      <x:c r="F1708" s="30" t="str">
        <x:v>uncommon</x:v>
      </x:c>
      <x:c r="G1708" s="30" t="str">
        <x:v>standard</x:v>
      </x:c>
      <x:c r="H1708" s="30" t="str">
        <x:v>year-round</x:v>
      </x:c>
      <x:c r="I17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09">
      <x:c r="A1709" s="36" t="str">
        <x:v>east_africa</x:v>
      </x:c>
      <x:c r="B1709" s="30" t="str">
        <x:v>east-africa-broad-draft-1</x:v>
      </x:c>
      <x:c r="C1709" s="30" t="n">
        <x:v>23286</x:v>
      </x:c>
      <x:c r="D1709" s="32" t="str">
        <x:v>Bladder Reed Frog</x:v>
      </x:c>
      <x:c r="E1709" s="32" t="str">
        <x:v>Hyperolius cystocandicans</x:v>
      </x:c>
      <x:c r="F1709" s="30" t="str">
        <x:v>uncommon</x:v>
      </x:c>
      <x:c r="G1709" s="30" t="str">
        <x:v>standard</x:v>
      </x:c>
      <x:c r="H1709" s="30" t="str">
        <x:v>year-round</x:v>
      </x:c>
      <x:c r="I17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0">
      <x:c r="A1710" s="36" t="str">
        <x:v>east_africa</x:v>
      </x:c>
      <x:c r="B1710" s="30" t="str">
        <x:v>east-africa-broad-draft-1</x:v>
      </x:c>
      <x:c r="C1710" s="30" t="n">
        <x:v>67273</x:v>
      </x:c>
      <x:c r="D1710" s="32" t="str">
        <x:v>Lake Victoria Clawed Frog</x:v>
      </x:c>
      <x:c r="E1710" s="32" t="str">
        <x:v>Xenopus victorianus</x:v>
      </x:c>
      <x:c r="F1710" s="30" t="str">
        <x:v>uncommon</x:v>
      </x:c>
      <x:c r="G1710" s="30" t="str">
        <x:v>standard</x:v>
      </x:c>
      <x:c r="H1710" s="30" t="str">
        <x:v>year-round</x:v>
      </x:c>
      <x:c r="I17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1">
      <x:c r="A1711" s="36" t="str">
        <x:v>east_africa</x:v>
      </x:c>
      <x:c r="B1711" s="30" t="str">
        <x:v>east-africa-broad-draft-1</x:v>
      </x:c>
      <x:c r="C1711" s="30" t="n">
        <x:v>25743</x:v>
      </x:c>
      <x:c r="D1711" s="32" t="str">
        <x:v>Schilluk ridged frog</x:v>
      </x:c>
      <x:c r="E1711" s="32" t="str">
        <x:v>Ptychadena schillukorum</x:v>
      </x:c>
      <x:c r="F1711" s="30" t="str">
        <x:v>uncommon</x:v>
      </x:c>
      <x:c r="G1711" s="30" t="str">
        <x:v>standard</x:v>
      </x:c>
      <x:c r="H1711" s="30" t="str">
        <x:v>year-round</x:v>
      </x:c>
      <x:c r="I17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2">
      <x:c r="A1712" s="36" t="str">
        <x:v>east_africa</x:v>
      </x:c>
      <x:c r="B1712" s="30" t="str">
        <x:v>east-africa-broad-draft-1</x:v>
      </x:c>
      <x:c r="C1712" s="30" t="n">
        <x:v>23406</x:v>
      </x:c>
      <x:c r="D1712" s="32" t="str">
        <x:v>Witu Forest Tree Frog</x:v>
      </x:c>
      <x:c r="E1712" s="32" t="str">
        <x:v>Leptopelis concolor</x:v>
      </x:c>
      <x:c r="F1712" s="30" t="str">
        <x:v>uncommon</x:v>
      </x:c>
      <x:c r="G1712" s="30" t="str">
        <x:v>standard</x:v>
      </x:c>
      <x:c r="H1712" s="30" t="str">
        <x:v>year-round</x:v>
      </x:c>
      <x:c r="I17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3">
      <x:c r="A1713" s="36" t="str">
        <x:v>east_africa</x:v>
      </x:c>
      <x:c r="B1713" s="30" t="str">
        <x:v>east-africa-broad-draft-1</x:v>
      </x:c>
      <x:c r="C1713" s="30" t="n">
        <x:v>517454</x:v>
      </x:c>
      <x:c r="D1713" s="32" t="str">
        <x:v>Dead-leaf Toad</x:v>
      </x:c>
      <x:c r="E1713" s="32" t="str">
        <x:v>Sclerophrys brauni</x:v>
      </x:c>
      <x:c r="F1713" s="30" t="str">
        <x:v>uncommon</x:v>
      </x:c>
      <x:c r="G1713" s="30" t="str">
        <x:v>standard</x:v>
      </x:c>
      <x:c r="H1713" s="30" t="str">
        <x:v>year-round</x:v>
      </x:c>
      <x:c r="I17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4">
      <x:c r="A1714" s="36" t="str">
        <x:v>east_africa</x:v>
      </x:c>
      <x:c r="B1714" s="30" t="str">
        <x:v>east-africa-broad-draft-1</x:v>
      </x:c>
      <x:c r="C1714" s="30" t="n">
        <x:v>21861</x:v>
      </x:c>
      <x:c r="D1714" s="32" t="str">
        <x:v>African Red Toad</x:v>
      </x:c>
      <x:c r="E1714" s="32" t="str">
        <x:v>Schismaderma carens</x:v>
      </x:c>
      <x:c r="F1714" s="30" t="str">
        <x:v>uncommon</x:v>
      </x:c>
      <x:c r="G1714" s="30" t="str">
        <x:v>standard</x:v>
      </x:c>
      <x:c r="H1714" s="30" t="str">
        <x:v>year-round</x:v>
      </x:c>
      <x:c r="I17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5">
      <x:c r="A1715" s="36" t="str">
        <x:v>east_africa</x:v>
      </x:c>
      <x:c r="B1715" s="30" t="str">
        <x:v>east-africa-broad-draft-1</x:v>
      </x:c>
      <x:c r="C1715" s="30" t="n">
        <x:v>23369</x:v>
      </x:c>
      <x:c r="D1715" s="32" t="str">
        <x:v>Cinnamon-bellied Reed Frog</x:v>
      </x:c>
      <x:c r="E1715" s="32" t="str">
        <x:v>Hyperolius cinnamomeoventris</x:v>
      </x:c>
      <x:c r="F1715" s="30" t="str">
        <x:v>uncommon</x:v>
      </x:c>
      <x:c r="G1715" s="30" t="str">
        <x:v>standard</x:v>
      </x:c>
      <x:c r="H1715" s="30" t="str">
        <x:v>year-round</x:v>
      </x:c>
      <x:c r="I17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6">
      <x:c r="A1716" s="36" t="str">
        <x:v>east_africa</x:v>
      </x:c>
      <x:c r="B1716" s="30" t="str">
        <x:v>east-africa-broad-draft-1</x:v>
      </x:c>
      <x:c r="C1716" s="30" t="n">
        <x:v>134941</x:v>
      </x:c>
      <x:c r="D1716" s="32" t="str">
        <x:v>Margined Reed Frog</x:v>
      </x:c>
      <x:c r="E1716" s="32" t="str">
        <x:v>Hyperolius marginatus</x:v>
      </x:c>
      <x:c r="F1716" s="30" t="str">
        <x:v>uncommon</x:v>
      </x:c>
      <x:c r="G1716" s="30" t="str">
        <x:v>standard</x:v>
      </x:c>
      <x:c r="H1716" s="30" t="str">
        <x:v>year-round</x:v>
      </x:c>
      <x:c r="I17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7">
      <x:c r="A1717" s="36" t="str">
        <x:v>east_africa</x:v>
      </x:c>
      <x:c r="B1717" s="30" t="str">
        <x:v>east-africa-broad-draft-1</x:v>
      </x:c>
      <x:c r="C1717" s="30" t="n">
        <x:v>66424</x:v>
      </x:c>
      <x:c r="D1717" s="32" t="str">
        <x:v>Phrynobatrachus scheffleri</x:v>
      </x:c>
      <x:c r="E1717" s="32" t="str">
        <x:v>Phrynobatrachus scheffleri</x:v>
      </x:c>
      <x:c r="F1717" s="30" t="str">
        <x:v>uncommon</x:v>
      </x:c>
      <x:c r="G1717" s="30" t="str">
        <x:v>standard</x:v>
      </x:c>
      <x:c r="H1717" s="30" t="str">
        <x:v>year-round</x:v>
      </x:c>
      <x:c r="I17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8">
      <x:c r="A1718" s="36" t="str">
        <x:v>east_africa</x:v>
      </x:c>
      <x:c r="B1718" s="30" t="str">
        <x:v>east-africa-broad-draft-1</x:v>
      </x:c>
      <x:c r="C1718" s="30" t="n">
        <x:v>26203</x:v>
      </x:c>
      <x:c r="D1718" s="32" t="str">
        <x:v>Mount Meru Stream Frog</x:v>
      </x:c>
      <x:c r="E1718" s="32" t="str">
        <x:v>Strongylopus merumontanus</x:v>
      </x:c>
      <x:c r="F1718" s="30" t="str">
        <x:v>uncommon</x:v>
      </x:c>
      <x:c r="G1718" s="30" t="str">
        <x:v>standard</x:v>
      </x:c>
      <x:c r="H1718" s="30" t="str">
        <x:v>year-round</x:v>
      </x:c>
      <x:c r="I17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19">
      <x:c r="A1719" s="36" t="str">
        <x:v>east_africa</x:v>
      </x:c>
      <x:c r="B1719" s="30" t="str">
        <x:v>east-africa-broad-draft-1</x:v>
      </x:c>
      <x:c r="C1719" s="30" t="n">
        <x:v>65579</x:v>
      </x:c>
      <x:c r="D1719" s="32" t="str">
        <x:v>Galam white-lipped frog</x:v>
      </x:c>
      <x:c r="E1719" s="32" t="str">
        <x:v>Hylarana galamensis</x:v>
      </x:c>
      <x:c r="F1719" s="30" t="str">
        <x:v>rare</x:v>
      </x:c>
      <x:c r="G1719" s="30" t="str">
        <x:v>standard</x:v>
      </x:c>
      <x:c r="H1719" s="30" t="str">
        <x:v>year-round</x:v>
      </x:c>
      <x:c r="I17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0">
      <x:c r="A1720" s="36" t="str">
        <x:v>east_africa</x:v>
      </x:c>
      <x:c r="B1720" s="30" t="str">
        <x:v>east-africa-broad-draft-1</x:v>
      </x:c>
      <x:c r="C1720" s="30" t="n">
        <x:v>23393</x:v>
      </x:c>
      <x:c r="D1720" s="32" t="str">
        <x:v>Brown Reed Frog</x:v>
      </x:c>
      <x:c r="E1720" s="32" t="str">
        <x:v>Hyperolius castaneus</x:v>
      </x:c>
      <x:c r="F1720" s="30" t="str">
        <x:v>uncommon</x:v>
      </x:c>
      <x:c r="G1720" s="30" t="str">
        <x:v>standard</x:v>
      </x:c>
      <x:c r="H1720" s="30" t="str">
        <x:v>year-round</x:v>
      </x:c>
      <x:c r="I17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1">
      <x:c r="A1721" s="36" t="str">
        <x:v>east_africa</x:v>
      </x:c>
      <x:c r="B1721" s="30" t="str">
        <x:v>east-africa-broad-draft-1</x:v>
      </x:c>
      <x:c r="C1721" s="30" t="n">
        <x:v>23505</x:v>
      </x:c>
      <x:c r="D1721" s="32" t="str">
        <x:v>Somali Running Frog</x:v>
      </x:c>
      <x:c r="E1721" s="32" t="str">
        <x:v>Kassina somalica</x:v>
      </x:c>
      <x:c r="F1721" s="30" t="str">
        <x:v>rare</x:v>
      </x:c>
      <x:c r="G1721" s="30" t="str">
        <x:v>standard</x:v>
      </x:c>
      <x:c r="H1721" s="30" t="str">
        <x:v>year-round</x:v>
      </x:c>
      <x:c r="I17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2">
      <x:c r="A1722" s="36" t="str">
        <x:v>east_africa</x:v>
      </x:c>
      <x:c r="B1722" s="30" t="str">
        <x:v>east-africa-broad-draft-1</x:v>
      </x:c>
      <x:c r="C1722" s="30" t="n">
        <x:v>326304</x:v>
      </x:c>
      <x:c r="D1722" s="32" t="str">
        <x:v>Silvery Tree Frog</x:v>
      </x:c>
      <x:c r="E1722" s="32" t="str">
        <x:v>Leptopelis argenteus</x:v>
      </x:c>
      <x:c r="F1722" s="30" t="str">
        <x:v>rare</x:v>
      </x:c>
      <x:c r="G1722" s="30" t="str">
        <x:v>standard</x:v>
      </x:c>
      <x:c r="H1722" s="30" t="str">
        <x:v>year-round</x:v>
      </x:c>
      <x:c r="I17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3">
      <x:c r="A1723" s="36" t="str">
        <x:v>east_africa</x:v>
      </x:c>
      <x:c r="B1723" s="30" t="str">
        <x:v>east-africa-broad-draft-1</x:v>
      </x:c>
      <x:c r="C1723" s="30" t="n">
        <x:v>476938</x:v>
      </x:c>
      <x:c r="D1723" s="32" t="str">
        <x:v>Barbour's Tree Frog</x:v>
      </x:c>
      <x:c r="E1723" s="32" t="str">
        <x:v>Leptopelis grandiceps</x:v>
      </x:c>
      <x:c r="F1723" s="30" t="str">
        <x:v>rare</x:v>
      </x:c>
      <x:c r="G1723" s="30" t="str">
        <x:v>standard</x:v>
      </x:c>
      <x:c r="H1723" s="30" t="str">
        <x:v>year-round</x:v>
      </x:c>
      <x:c r="I17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4">
      <x:c r="A1724" s="36" t="str">
        <x:v>east_africa</x:v>
      </x:c>
      <x:c r="B1724" s="30" t="str">
        <x:v>east-africa-broad-draft-1</x:v>
      </x:c>
      <x:c r="C1724" s="30" t="n">
        <x:v>25356</x:v>
      </x:c>
      <x:c r="D1724" s="32" t="str">
        <x:v>Phrynobatrachus keniensis</x:v>
      </x:c>
      <x:c r="E1724" s="32" t="str">
        <x:v>Phrynobatrachus keniensis</x:v>
      </x:c>
      <x:c r="F1724" s="30" t="str">
        <x:v>rare</x:v>
      </x:c>
      <x:c r="G1724" s="30" t="str">
        <x:v>standard</x:v>
      </x:c>
      <x:c r="H1724" s="30" t="str">
        <x:v>year-round</x:v>
      </x:c>
      <x:c r="I17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5">
      <x:c r="A1725" s="36" t="str">
        <x:v>east_africa</x:v>
      </x:c>
      <x:c r="B1725" s="30" t="str">
        <x:v>east-africa-broad-draft-1</x:v>
      </x:c>
      <x:c r="C1725" s="30" t="n">
        <x:v>23301</x:v>
      </x:c>
      <x:c r="D1725" s="32" t="str">
        <x:v>Mountain Reed Frog</x:v>
      </x:c>
      <x:c r="E1725" s="32" t="str">
        <x:v>Hyperolius montanus</x:v>
      </x:c>
      <x:c r="F1725" s="30" t="str">
        <x:v>rare</x:v>
      </x:c>
      <x:c r="G1725" s="30" t="str">
        <x:v>standard</x:v>
      </x:c>
      <x:c r="H1725" s="30" t="str">
        <x:v>year-round</x:v>
      </x:c>
      <x:c r="I17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6">
      <x:c r="A1726" s="36" t="str">
        <x:v>east_africa</x:v>
      </x:c>
      <x:c r="B1726" s="30" t="str">
        <x:v>east-africa-broad-draft-1</x:v>
      </x:c>
      <x:c r="C1726" s="30" t="n">
        <x:v>27904</x:v>
      </x:c>
      <x:c r="D1726" s="32" t="str">
        <x:v>Taita Hills Caecilian</x:v>
      </x:c>
      <x:c r="E1726" s="32" t="str">
        <x:v>Boulengerula taitana</x:v>
      </x:c>
      <x:c r="F1726" s="30" t="str">
        <x:v>rare</x:v>
      </x:c>
      <x:c r="G1726" s="30" t="str">
        <x:v>standard</x:v>
      </x:c>
      <x:c r="H1726" s="30" t="str">
        <x:v>year-round</x:v>
      </x:c>
      <x:c r="I17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7">
      <x:c r="A1727" s="36" t="str">
        <x:v>east_africa</x:v>
      </x:c>
      <x:c r="B1727" s="30" t="str">
        <x:v>east-africa-broad-draft-1</x:v>
      </x:c>
      <x:c r="C1727" s="30" t="n">
        <x:v>25762</x:v>
      </x:c>
      <x:c r="D1727" s="32" t="str">
        <x:v>Erlanger's Grassland Frog</x:v>
      </x:c>
      <x:c r="E1727" s="32" t="str">
        <x:v>Ptychadena erlangeri</x:v>
      </x:c>
      <x:c r="F1727" s="30" t="str">
        <x:v>rare</x:v>
      </x:c>
      <x:c r="G1727" s="30" t="str">
        <x:v>standard</x:v>
      </x:c>
      <x:c r="H1727" s="30" t="str">
        <x:v>year-round</x:v>
      </x:c>
      <x:c r="I17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8">
      <x:c r="A1728" s="36" t="str">
        <x:v>east_africa</x:v>
      </x:c>
      <x:c r="B1728" s="30" t="str">
        <x:v>east-africa-broad-draft-1</x:v>
      </x:c>
      <x:c r="C1728" s="30" t="n">
        <x:v>25782</x:v>
      </x:c>
      <x:c r="D1728" s="32" t="str">
        <x:v>Mascarene Ridged Frog</x:v>
      </x:c>
      <x:c r="E1728" s="32" t="str">
        <x:v>Ptychadena mascareniensis</x:v>
      </x:c>
      <x:c r="F1728" s="30" t="str">
        <x:v>rare</x:v>
      </x:c>
      <x:c r="G1728" s="30" t="str">
        <x:v>standard</x:v>
      </x:c>
      <x:c r="H1728" s="30" t="str">
        <x:v>year-round</x:v>
      </x:c>
      <x:c r="I17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29">
      <x:c r="A1729" s="36" t="str">
        <x:v>east_africa</x:v>
      </x:c>
      <x:c r="B1729" s="30" t="str">
        <x:v>east-africa-broad-draft-1</x:v>
      </x:c>
      <x:c r="C1729" s="30" t="n">
        <x:v>142293</x:v>
      </x:c>
      <x:c r="D1729" s="32" t="str">
        <x:v>Tremelo Sand Frog</x:v>
      </x:c>
      <x:c r="E1729" s="32" t="str">
        <x:v>Tomopterna cryptotis</x:v>
      </x:c>
      <x:c r="F1729" s="30" t="str">
        <x:v>rare</x:v>
      </x:c>
      <x:c r="G1729" s="30" t="str">
        <x:v>standard</x:v>
      </x:c>
      <x:c r="H1729" s="30" t="str">
        <x:v>year-round</x:v>
      </x:c>
      <x:c r="I17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0">
      <x:c r="A1730" s="36" t="str">
        <x:v>east_africa</x:v>
      </x:c>
      <x:c r="B1730" s="30" t="str">
        <x:v>east-africa-broad-draft-1</x:v>
      </x:c>
      <x:c r="C1730" s="30" t="n">
        <x:v>134926</x:v>
      </x:c>
      <x:c r="D1730" s="32" t="str">
        <x:v>Stuhlmann's Spiny Reed Frog</x:v>
      </x:c>
      <x:c r="E1730" s="32" t="str">
        <x:v>Afrixalus stuhlmanni</x:v>
      </x:c>
      <x:c r="F1730" s="30" t="str">
        <x:v>very_rare</x:v>
      </x:c>
      <x:c r="G1730" s="30" t="str">
        <x:v>standard</x:v>
      </x:c>
      <x:c r="H1730" s="30" t="str">
        <x:v>year-round</x:v>
      </x:c>
      <x:c r="I17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1">
      <x:c r="A1731" s="36" t="str">
        <x:v>east_africa</x:v>
      </x:c>
      <x:c r="B1731" s="30" t="str">
        <x:v>east-africa-broad-draft-1</x:v>
      </x:c>
      <x:c r="C1731" s="30" t="n">
        <x:v>64833</x:v>
      </x:c>
      <x:c r="D1731" s="32" t="str">
        <x:v>Clarke's banana frog</x:v>
      </x:c>
      <x:c r="E1731" s="32" t="str">
        <x:v>Afrixalus clarkei</x:v>
      </x:c>
      <x:c r="F1731" s="30" t="str">
        <x:v>very_rare</x:v>
      </x:c>
      <x:c r="G1731" s="30" t="str">
        <x:v>standard</x:v>
      </x:c>
      <x:c r="H1731" s="30" t="str">
        <x:v>year-round</x:v>
      </x:c>
      <x:c r="I17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2">
      <x:c r="A1732" s="36" t="str">
        <x:v>east_africa</x:v>
      </x:c>
      <x:c r="B1732" s="30" t="str">
        <x:v>east-africa-broad-draft-1</x:v>
      </x:c>
      <x:c r="C1732" s="30" t="n">
        <x:v>147661</x:v>
      </x:c>
      <x:c r="D1732" s="32" t="str">
        <x:v>Mountain Gorilla</x:v>
      </x:c>
      <x:c r="E1732" s="32" t="str">
        <x:v>Gorilla beringei beringei</x:v>
      </x:c>
      <x:c r="F1732" s="30" t="str">
        <x:v>very_rare</x:v>
      </x:c>
      <x:c r="G1732" s="30" t="str">
        <x:v>legendary</x:v>
      </x:c>
      <x:c r="H1732" s="30" t="str">
        <x:v>year-round</x:v>
      </x:c>
      <x:c r="I1732" s="37" t="str">
        <x:v>Owner-managed east_africa icon checklist; imported from east_africa_checklists.csv. Encounter rarity and prestige are curated game metadata. Automated rarity: inaturalist-regional-frequency-v1; no top-page regional count, so retained as a conservative very-rare experimental tier.</x:v>
      </x:c>
    </x:row>
    <x:row r="1733">
      <x:c r="A1733" s="36" t="str">
        <x:v>caribbean</x:v>
      </x:c>
      <x:c r="B1733" s="30" t="str">
        <x:v>caribbean-broad-draft-1</x:v>
      </x:c>
      <x:c r="C1733" s="30" t="n">
        <x:v>118552</x:v>
      </x:c>
      <x:c r="D1733" s="32" t="str">
        <x:v>Domestic Cat</x:v>
      </x:c>
      <x:c r="E1733" s="32" t="str">
        <x:v>Felis catus</x:v>
      </x:c>
      <x:c r="F1733" s="30" t="str">
        <x:v>common</x:v>
      </x:c>
      <x:c r="G1733" s="30" t="str">
        <x:v>standard</x:v>
      </x:c>
      <x:c r="H1733" s="30" t="str">
        <x:v>year-round</x:v>
      </x:c>
      <x:c r="I17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4">
      <x:c r="A1734" s="36" t="str">
        <x:v>caribbean</x:v>
      </x:c>
      <x:c r="B1734" s="30" t="str">
        <x:v>caribbean-broad-draft-1</x:v>
      </x:c>
      <x:c r="C1734" s="30" t="n">
        <x:v>925979</x:v>
      </x:c>
      <x:c r="D1734" s="32" t="str">
        <x:v>Small Indian Mongoose</x:v>
      </x:c>
      <x:c r="E1734" s="32" t="str">
        <x:v>Urva auropunctata</x:v>
      </x:c>
      <x:c r="F1734" s="30" t="str">
        <x:v>common</x:v>
      </x:c>
      <x:c r="G1734" s="30" t="str">
        <x:v>standard</x:v>
      </x:c>
      <x:c r="H1734" s="30" t="str">
        <x:v>year-round</x:v>
      </x:c>
      <x:c r="I17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5">
      <x:c r="A1735" s="36" t="str">
        <x:v>caribbean</x:v>
      </x:c>
      <x:c r="B1735" s="30" t="str">
        <x:v>caribbean-broad-draft-1</x:v>
      </x:c>
      <x:c r="C1735" s="30" t="n">
        <x:v>41005</x:v>
      </x:c>
      <x:c r="D1735" s="32" t="str">
        <x:v>Jamaican Fruit-eating Bat</x:v>
      </x:c>
      <x:c r="E1735" s="32" t="str">
        <x:v>Artibeus jamaicensis</x:v>
      </x:c>
      <x:c r="F1735" s="30" t="str">
        <x:v>common</x:v>
      </x:c>
      <x:c r="G1735" s="30" t="str">
        <x:v>standard</x:v>
      </x:c>
      <x:c r="H1735" s="30" t="str">
        <x:v>year-round</x:v>
      </x:c>
      <x:c r="I17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6">
      <x:c r="A1736" s="36" t="str">
        <x:v>caribbean</x:v>
      </x:c>
      <x:c r="B1736" s="30" t="str">
        <x:v>caribbean-broad-draft-1</x:v>
      </x:c>
      <x:c r="C1736" s="30" t="n">
        <x:v>47144</x:v>
      </x:c>
      <x:c r="D1736" s="32" t="str">
        <x:v>Domestic Dog</x:v>
      </x:c>
      <x:c r="E1736" s="32" t="str">
        <x:v>Canis familiaris</x:v>
      </x:c>
      <x:c r="F1736" s="30" t="str">
        <x:v>common</x:v>
      </x:c>
      <x:c r="G1736" s="30" t="str">
        <x:v>standard</x:v>
      </x:c>
      <x:c r="H1736" s="30" t="str">
        <x:v>year-round</x:v>
      </x:c>
      <x:c r="I17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7">
      <x:c r="A1737" s="36" t="str">
        <x:v>caribbean</x:v>
      </x:c>
      <x:c r="B1737" s="30" t="str">
        <x:v>caribbean-broad-draft-1</x:v>
      </x:c>
      <x:c r="C1737" s="30" t="n">
        <x:v>42223</x:v>
      </x:c>
      <x:c r="D1737" s="32" t="str">
        <x:v>White-tailed Deer</x:v>
      </x:c>
      <x:c r="E1737" s="32" t="str">
        <x:v>Odocoileus virginianus</x:v>
      </x:c>
      <x:c r="F1737" s="30" t="str">
        <x:v>common</x:v>
      </x:c>
      <x:c r="G1737" s="30" t="str">
        <x:v>standard</x:v>
      </x:c>
      <x:c r="H1737" s="30" t="str">
        <x:v>year-round</x:v>
      </x:c>
      <x:c r="I17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8">
      <x:c r="A1738" s="36" t="str">
        <x:v>caribbean</x:v>
      </x:c>
      <x:c r="B1738" s="30" t="str">
        <x:v>caribbean-broad-draft-1</x:v>
      </x:c>
      <x:c r="C1738" s="30" t="n">
        <x:v>43769</x:v>
      </x:c>
      <x:c r="D1738" s="32" t="str">
        <x:v>Cuban Ground Hutia</x:v>
      </x:c>
      <x:c r="E1738" s="32" t="str">
        <x:v>Capromys pilorides</x:v>
      </x:c>
      <x:c r="F1738" s="30" t="str">
        <x:v>common</x:v>
      </x:c>
      <x:c r="G1738" s="30" t="str">
        <x:v>standard</x:v>
      </x:c>
      <x:c r="H1738" s="30" t="str">
        <x:v>year-round</x:v>
      </x:c>
      <x:c r="I17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39">
      <x:c r="A1739" s="36" t="str">
        <x:v>caribbean</x:v>
      </x:c>
      <x:c r="B1739" s="30" t="str">
        <x:v>caribbean-broad-draft-1</x:v>
      </x:c>
      <x:c r="C1739" s="30" t="n">
        <x:v>209233</x:v>
      </x:c>
      <x:c r="D1739" s="32" t="str">
        <x:v>Domestic Horse</x:v>
      </x:c>
      <x:c r="E1739" s="32" t="str">
        <x:v>Equus caballus</x:v>
      </x:c>
      <x:c r="F1739" s="30" t="str">
        <x:v>common</x:v>
      </x:c>
      <x:c r="G1739" s="30" t="str">
        <x:v>standard</x:v>
      </x:c>
      <x:c r="H1739" s="30" t="str">
        <x:v>year-round</x:v>
      </x:c>
      <x:c r="I17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0">
      <x:c r="A1740" s="36" t="str">
        <x:v>caribbean</x:v>
      </x:c>
      <x:c r="B1740" s="30" t="str">
        <x:v>caribbean-broad-draft-1</x:v>
      </x:c>
      <x:c r="C1740" s="30" t="n">
        <x:v>123070</x:v>
      </x:c>
      <x:c r="D1740" s="32" t="str">
        <x:v>Domestic Goat</x:v>
      </x:c>
      <x:c r="E1740" s="32" t="str">
        <x:v>Capra hircus</x:v>
      </x:c>
      <x:c r="F1740" s="30" t="str">
        <x:v>common</x:v>
      </x:c>
      <x:c r="G1740" s="30" t="str">
        <x:v>standard</x:v>
      </x:c>
      <x:c r="H1740" s="30" t="str">
        <x:v>year-round</x:v>
      </x:c>
      <x:c r="I17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1">
      <x:c r="A1741" s="36" t="str">
        <x:v>caribbean</x:v>
      </x:c>
      <x:c r="B1741" s="30" t="str">
        <x:v>caribbean-broad-draft-1</x:v>
      </x:c>
      <x:c r="C1741" s="30" t="n">
        <x:v>41482</x:v>
      </x:c>
      <x:c r="D1741" s="32" t="str">
        <x:v>Common Bottlenose Dolphin</x:v>
      </x:c>
      <x:c r="E1741" s="32" t="str">
        <x:v>Tursiops truncatus</x:v>
      </x:c>
      <x:c r="F1741" s="30" t="str">
        <x:v>common</x:v>
      </x:c>
      <x:c r="G1741" s="30" t="str">
        <x:v>standard</x:v>
      </x:c>
      <x:c r="H1741" s="30" t="str">
        <x:v>year-round</x:v>
      </x:c>
      <x:c r="I17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2">
      <x:c r="A1742" s="36" t="str">
        <x:v>caribbean</x:v>
      </x:c>
      <x:c r="B1742" s="30" t="str">
        <x:v>caribbean-broad-draft-1</x:v>
      </x:c>
      <x:c r="C1742" s="30" t="n">
        <x:v>44575</x:v>
      </x:c>
      <x:c r="D1742" s="32" t="str">
        <x:v>Black Rat</x:v>
      </x:c>
      <x:c r="E1742" s="32" t="str">
        <x:v>Rattus rattus</x:v>
      </x:c>
      <x:c r="F1742" s="30" t="str">
        <x:v>common</x:v>
      </x:c>
      <x:c r="G1742" s="30" t="str">
        <x:v>standard</x:v>
      </x:c>
      <x:c r="H1742" s="30" t="str">
        <x:v>year-round</x:v>
      </x:c>
      <x:c r="I17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3">
      <x:c r="A1743" s="36" t="str">
        <x:v>caribbean</x:v>
      </x:c>
      <x:c r="B1743" s="30" t="str">
        <x:v>caribbean-broad-draft-1</x:v>
      </x:c>
      <x:c r="C1743" s="30" t="n">
        <x:v>41254</x:v>
      </x:c>
      <x:c r="D1743" s="32" t="str">
        <x:v>Velvety Free-tailed Bat</x:v>
      </x:c>
      <x:c r="E1743" s="32" t="str">
        <x:v>Molossus molossus</x:v>
      </x:c>
      <x:c r="F1743" s="30" t="str">
        <x:v>common</x:v>
      </x:c>
      <x:c r="G1743" s="30" t="str">
        <x:v>standard</x:v>
      </x:c>
      <x:c r="H1743" s="30" t="str">
        <x:v>year-round</x:v>
      </x:c>
      <x:c r="I17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4">
      <x:c r="A1744" s="36" t="str">
        <x:v>caribbean</x:v>
      </x:c>
      <x:c r="B1744" s="30" t="str">
        <x:v>caribbean-broad-draft-1</x:v>
      </x:c>
      <x:c r="C1744" s="30" t="n">
        <x:v>148030</x:v>
      </x:c>
      <x:c r="D1744" s="32" t="str">
        <x:v>Donkey</x:v>
      </x:c>
      <x:c r="E1744" s="32" t="str">
        <x:v>Equus asinus</x:v>
      </x:c>
      <x:c r="F1744" s="30" t="str">
        <x:v>common</x:v>
      </x:c>
      <x:c r="G1744" s="30" t="str">
        <x:v>standard</x:v>
      </x:c>
      <x:c r="H1744" s="30" t="str">
        <x:v>year-round</x:v>
      </x:c>
      <x:c r="I17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5">
      <x:c r="A1745" s="36" t="str">
        <x:v>caribbean</x:v>
      </x:c>
      <x:c r="B1745" s="30" t="str">
        <x:v>caribbean-broad-draft-1</x:v>
      </x:c>
      <x:c r="C1745" s="30" t="n">
        <x:v>41566</x:v>
      </x:c>
      <x:c r="D1745" s="32" t="str">
        <x:v>Humpback Whale</x:v>
      </x:c>
      <x:c r="E1745" s="32" t="str">
        <x:v>Megaptera novaeangliae</x:v>
      </x:c>
      <x:c r="F1745" s="30" t="str">
        <x:v>common</x:v>
      </x:c>
      <x:c r="G1745" s="30" t="str">
        <x:v>standard</x:v>
      </x:c>
      <x:c r="H1745" s="30" t="str">
        <x:v>year-round</x:v>
      </x:c>
      <x:c r="I17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6">
      <x:c r="A1746" s="36" t="str">
        <x:v>caribbean</x:v>
      </x:c>
      <x:c r="B1746" s="30" t="str">
        <x:v>caribbean-broad-draft-1</x:v>
      </x:c>
      <x:c r="C1746" s="30" t="n">
        <x:v>41146</x:v>
      </x:c>
      <x:c r="D1746" s="32" t="str">
        <x:v>Waterhouse's Leaf-nosed Bat</x:v>
      </x:c>
      <x:c r="E1746" s="32" t="str">
        <x:v>Macrotus waterhousii</x:v>
      </x:c>
      <x:c r="F1746" s="30" t="str">
        <x:v>common</x:v>
      </x:c>
      <x:c r="G1746" s="30" t="str">
        <x:v>standard</x:v>
      </x:c>
      <x:c r="H1746" s="30" t="str">
        <x:v>year-round</x:v>
      </x:c>
      <x:c r="I17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7">
      <x:c r="A1747" s="36" t="str">
        <x:v>caribbean</x:v>
      </x:c>
      <x:c r="B1747" s="30" t="str">
        <x:v>caribbean-broad-draft-1</x:v>
      </x:c>
      <x:c r="C1747" s="30" t="n">
        <x:v>44576</x:v>
      </x:c>
      <x:c r="D1747" s="32" t="str">
        <x:v>Brown Rat</x:v>
      </x:c>
      <x:c r="E1747" s="32" t="str">
        <x:v>Rattus norvegicus</x:v>
      </x:c>
      <x:c r="F1747" s="30" t="str">
        <x:v>common</x:v>
      </x:c>
      <x:c r="G1747" s="30" t="str">
        <x:v>standard</x:v>
      </x:c>
      <x:c r="H1747" s="30" t="str">
        <x:v>year-round</x:v>
      </x:c>
      <x:c r="I17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8">
      <x:c r="A1748" s="36" t="str">
        <x:v>caribbean</x:v>
      </x:c>
      <x:c r="B1748" s="30" t="str">
        <x:v>caribbean-broad-draft-1</x:v>
      </x:c>
      <x:c r="C1748" s="30" t="n">
        <x:v>42134</x:v>
      </x:c>
      <x:c r="D1748" s="32" t="str">
        <x:v>Wild Boar</x:v>
      </x:c>
      <x:c r="E1748" s="32" t="str">
        <x:v>Sus scrofa</x:v>
      </x:c>
      <x:c r="F1748" s="30" t="str">
        <x:v>common</x:v>
      </x:c>
      <x:c r="G1748" s="30" t="str">
        <x:v>standard</x:v>
      </x:c>
      <x:c r="H1748" s="30" t="str">
        <x:v>year-round</x:v>
      </x:c>
      <x:c r="I17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49">
      <x:c r="A1749" s="36" t="str">
        <x:v>caribbean</x:v>
      </x:c>
      <x:c r="B1749" s="30" t="str">
        <x:v>caribbean-broad-draft-1</x:v>
      </x:c>
      <x:c r="C1749" s="30" t="n">
        <x:v>42649</x:v>
      </x:c>
      <x:c r="D1749" s="32" t="str">
        <x:v>Southern Opossum</x:v>
      </x:c>
      <x:c r="E1749" s="32" t="str">
        <x:v>Didelphis marsupialis</x:v>
      </x:c>
      <x:c r="F1749" s="30" t="str">
        <x:v>common</x:v>
      </x:c>
      <x:c r="G1749" s="30" t="str">
        <x:v>standard</x:v>
      </x:c>
      <x:c r="H1749" s="30" t="str">
        <x:v>year-round</x:v>
      </x:c>
      <x:c r="I17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0">
      <x:c r="A1750" s="36" t="str">
        <x:v>caribbean</x:v>
      </x:c>
      <x:c r="B1750" s="30" t="str">
        <x:v>caribbean-broad-draft-1</x:v>
      </x:c>
      <x:c r="C1750" s="30" t="n">
        <x:v>44705</x:v>
      </x:c>
      <x:c r="D1750" s="32" t="str">
        <x:v>House Mouse</x:v>
      </x:c>
      <x:c r="E1750" s="32" t="str">
        <x:v>Mus musculus</x:v>
      </x:c>
      <x:c r="F1750" s="30" t="str">
        <x:v>common</x:v>
      </x:c>
      <x:c r="G1750" s="30" t="str">
        <x:v>standard</x:v>
      </x:c>
      <x:c r="H1750" s="30" t="str">
        <x:v>year-round</x:v>
      </x:c>
      <x:c r="I17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1">
      <x:c r="A1751" s="36" t="str">
        <x:v>caribbean</x:v>
      </x:c>
      <x:c r="B1751" s="30" t="str">
        <x:v>caribbean-broad-draft-1</x:v>
      </x:c>
      <x:c r="C1751" s="30" t="n">
        <x:v>74113</x:v>
      </x:c>
      <x:c r="D1751" s="32" t="str">
        <x:v>Domestic Cattle</x:v>
      </x:c>
      <x:c r="E1751" s="32" t="str">
        <x:v>Bos taurus</x:v>
      </x:c>
      <x:c r="F1751" s="30" t="str">
        <x:v>common</x:v>
      </x:c>
      <x:c r="G1751" s="30" t="str">
        <x:v>standard</x:v>
      </x:c>
      <x:c r="H1751" s="30" t="str">
        <x:v>year-round</x:v>
      </x:c>
      <x:c r="I17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2">
      <x:c r="A1752" s="36" t="str">
        <x:v>caribbean</x:v>
      </x:c>
      <x:c r="B1752" s="30" t="str">
        <x:v>caribbean-broad-draft-1</x:v>
      </x:c>
      <x:c r="C1752" s="30" t="n">
        <x:v>46337</x:v>
      </x:c>
      <x:c r="D1752" s="32" t="str">
        <x:v>Hispaniolan Solenodon</x:v>
      </x:c>
      <x:c r="E1752" s="32" t="str">
        <x:v>Solenodon paradoxus</x:v>
      </x:c>
      <x:c r="F1752" s="30" t="str">
        <x:v>common</x:v>
      </x:c>
      <x:c r="G1752" s="30" t="str">
        <x:v>standard</x:v>
      </x:c>
      <x:c r="H1752" s="30" t="str">
        <x:v>year-round</x:v>
      </x:c>
      <x:c r="I17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3">
      <x:c r="A1753" s="36" t="str">
        <x:v>caribbean</x:v>
      </x:c>
      <x:c r="B1753" s="30" t="str">
        <x:v>caribbean-broad-draft-1</x:v>
      </x:c>
      <x:c r="C1753" s="30" t="n">
        <x:v>41178</x:v>
      </x:c>
      <x:c r="D1753" s="32" t="str">
        <x:v>Buffy Flower Bat</x:v>
      </x:c>
      <x:c r="E1753" s="32" t="str">
        <x:v>Erophylla sezekorni</x:v>
      </x:c>
      <x:c r="F1753" s="30" t="str">
        <x:v>common</x:v>
      </x:c>
      <x:c r="G1753" s="30" t="str">
        <x:v>standard</x:v>
      </x:c>
      <x:c r="H1753" s="30" t="str">
        <x:v>year-round</x:v>
      </x:c>
      <x:c r="I17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4">
      <x:c r="A1754" s="36" t="str">
        <x:v>caribbean</x:v>
      </x:c>
      <x:c r="B1754" s="30" t="str">
        <x:v>caribbean-broad-draft-1</x:v>
      </x:c>
      <x:c r="C1754" s="30" t="n">
        <x:v>41500</x:v>
      </x:c>
      <x:c r="D1754" s="32" t="str">
        <x:v>Pantropical Spotted Dolphin</x:v>
      </x:c>
      <x:c r="E1754" s="32" t="str">
        <x:v>Stenella attenuata</x:v>
      </x:c>
      <x:c r="F1754" s="30" t="str">
        <x:v>common</x:v>
      </x:c>
      <x:c r="G1754" s="30" t="str">
        <x:v>standard</x:v>
      </x:c>
      <x:c r="H1754" s="30" t="str">
        <x:v>year-round</x:v>
      </x:c>
      <x:c r="I17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5">
      <x:c r="A1755" s="36" t="str">
        <x:v>caribbean</x:v>
      </x:c>
      <x:c r="B1755" s="30" t="str">
        <x:v>caribbean-broad-draft-1</x:v>
      </x:c>
      <x:c r="C1755" s="30" t="n">
        <x:v>41175</x:v>
      </x:c>
      <x:c r="D1755" s="32" t="str">
        <x:v>Leach's Single Leaf Bat</x:v>
      </x:c>
      <x:c r="E1755" s="32" t="str">
        <x:v>Monophyllus redmani</x:v>
      </x:c>
      <x:c r="F1755" s="30" t="str">
        <x:v>common</x:v>
      </x:c>
      <x:c r="G1755" s="30" t="str">
        <x:v>standard</x:v>
      </x:c>
      <x:c r="H1755" s="30" t="str">
        <x:v>year-round</x:v>
      </x:c>
      <x:c r="I17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6">
      <x:c r="A1756" s="36" t="str">
        <x:v>caribbean</x:v>
      </x:c>
      <x:c r="B1756" s="30" t="str">
        <x:v>caribbean-broad-draft-1</x:v>
      </x:c>
      <x:c r="C1756" s="30" t="n">
        <x:v>41301</x:v>
      </x:c>
      <x:c r="D1756" s="32" t="str">
        <x:v>Mexican Free-tailed Bat</x:v>
      </x:c>
      <x:c r="E1756" s="32" t="str">
        <x:v>Tadarida brasiliensis</x:v>
      </x:c>
      <x:c r="F1756" s="30" t="str">
        <x:v>common</x:v>
      </x:c>
      <x:c r="G1756" s="30" t="str">
        <x:v>standard</x:v>
      </x:c>
      <x:c r="H1756" s="30" t="str">
        <x:v>year-round</x:v>
      </x:c>
      <x:c r="I17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7">
      <x:c r="A1757" s="36" t="str">
        <x:v>caribbean</x:v>
      </x:c>
      <x:c r="B1757" s="30" t="str">
        <x:v>caribbean-broad-draft-1</x:v>
      </x:c>
      <x:c r="C1757" s="30" t="n">
        <x:v>41171</x:v>
      </x:c>
      <x:c r="D1757" s="32" t="str">
        <x:v>Antillean Fruit-eating Bat</x:v>
      </x:c>
      <x:c r="E1757" s="32" t="str">
        <x:v>Brachyphylla cavernarum</x:v>
      </x:c>
      <x:c r="F1757" s="30" t="str">
        <x:v>common</x:v>
      </x:c>
      <x:c r="G1757" s="30" t="str">
        <x:v>standard</x:v>
      </x:c>
      <x:c r="H1757" s="30" t="str">
        <x:v>year-round</x:v>
      </x:c>
      <x:c r="I17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8">
      <x:c r="A1758" s="36" t="str">
        <x:v>caribbean</x:v>
      </x:c>
      <x:c r="B1758" s="30" t="str">
        <x:v>caribbean-broad-draft-1</x:v>
      </x:c>
      <x:c r="C1758" s="30" t="n">
        <x:v>74647</x:v>
      </x:c>
      <x:c r="D1758" s="32" t="str">
        <x:v>Antillean Ghost-faced Bat</x:v>
      </x:c>
      <x:c r="E1758" s="32" t="str">
        <x:v>Mormoops blainvillei</x:v>
      </x:c>
      <x:c r="F1758" s="30" t="str">
        <x:v>common</x:v>
      </x:c>
      <x:c r="G1758" s="30" t="str">
        <x:v>standard</x:v>
      </x:c>
      <x:c r="H1758" s="30" t="str">
        <x:v>year-round</x:v>
      </x:c>
      <x:c r="I17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59">
      <x:c r="A1759" s="36" t="str">
        <x:v>caribbean</x:v>
      </x:c>
      <x:c r="B1759" s="30" t="str">
        <x:v>caribbean-broad-draft-1</x:v>
      </x:c>
      <x:c r="C1759" s="30" t="n">
        <x:v>41663</x:v>
      </x:c>
      <x:c r="D1759" s="32" t="str">
        <x:v>Common Raccoon</x:v>
      </x:c>
      <x:c r="E1759" s="32" t="str">
        <x:v>Procyon lotor</x:v>
      </x:c>
      <x:c r="F1759" s="30" t="str">
        <x:v>common</x:v>
      </x:c>
      <x:c r="G1759" s="30" t="str">
        <x:v>standard</x:v>
      </x:c>
      <x:c r="H1759" s="30" t="str">
        <x:v>year-round</x:v>
      </x:c>
      <x:c r="I17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0">
      <x:c r="A1760" s="36" t="str">
        <x:v>caribbean</x:v>
      </x:c>
      <x:c r="B1760" s="30" t="str">
        <x:v>caribbean-broad-draft-1</x:v>
      </x:c>
      <x:c r="C1760" s="30" t="n">
        <x:v>46316</x:v>
      </x:c>
      <x:c r="D1760" s="32" t="str">
        <x:v>West Indian Manatee</x:v>
      </x:c>
      <x:c r="E1760" s="32" t="str">
        <x:v>Trichechus manatus</x:v>
      </x:c>
      <x:c r="F1760" s="30" t="str">
        <x:v>common</x:v>
      </x:c>
      <x:c r="G1760" s="30" t="str">
        <x:v>legendary</x:v>
      </x:c>
      <x:c r="H1760" s="30" t="str">
        <x:v>year-round</x:v>
      </x:c>
      <x:c r="I1760" s="37" t="str">
        <x:v>Owner-managed caribbean icon checklist; imported from caribbean_checklists.csv. Encounter rarity and prestige are curated game metadata. Automated rarity: inaturalist-regional-frequency-v1.</x:v>
      </x:c>
    </x:row>
    <x:row r="1761">
      <x:c r="A1761" s="36" t="str">
        <x:v>caribbean</x:v>
      </x:c>
      <x:c r="B1761" s="30" t="str">
        <x:v>caribbean-broad-draft-1</x:v>
      </x:c>
      <x:c r="C1761" s="30" t="n">
        <x:v>41200</x:v>
      </x:c>
      <x:c r="D1761" s="32" t="str">
        <x:v>Greater Bulldog Bat</x:v>
      </x:c>
      <x:c r="E1761" s="32" t="str">
        <x:v>Noctilio leporinus</x:v>
      </x:c>
      <x:c r="F1761" s="30" t="str">
        <x:v>common</x:v>
      </x:c>
      <x:c r="G1761" s="30" t="str">
        <x:v>standard</x:v>
      </x:c>
      <x:c r="H1761" s="30" t="str">
        <x:v>year-round</x:v>
      </x:c>
      <x:c r="I17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2">
      <x:c r="A1762" s="36" t="str">
        <x:v>caribbean</x:v>
      </x:c>
      <x:c r="B1762" s="30" t="str">
        <x:v>caribbean-broad-draft-1</x:v>
      </x:c>
      <x:c r="C1762" s="30" t="n">
        <x:v>74317</x:v>
      </x:c>
      <x:c r="D1762" s="32" t="str">
        <x:v>Brown Flower Bat</x:v>
      </x:c>
      <x:c r="E1762" s="32" t="str">
        <x:v>Erophylla bombifrons</x:v>
      </x:c>
      <x:c r="F1762" s="30" t="str">
        <x:v>common</x:v>
      </x:c>
      <x:c r="G1762" s="30" t="str">
        <x:v>standard</x:v>
      </x:c>
      <x:c r="H1762" s="30" t="str">
        <x:v>year-round</x:v>
      </x:c>
      <x:c r="I17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3">
      <x:c r="A1763" s="36" t="str">
        <x:v>caribbean</x:v>
      </x:c>
      <x:c r="B1763" s="30" t="str">
        <x:v>caribbean-broad-draft-1</x:v>
      </x:c>
      <x:c r="C1763" s="30" t="n">
        <x:v>41222</x:v>
      </x:c>
      <x:c r="D1763" s="32" t="str">
        <x:v>Sooty Moustached Bat</x:v>
      </x:c>
      <x:c r="E1763" s="32" t="str">
        <x:v>Pteronotus quadridens</x:v>
      </x:c>
      <x:c r="F1763" s="30" t="str">
        <x:v>common</x:v>
      </x:c>
      <x:c r="G1763" s="30" t="str">
        <x:v>standard</x:v>
      </x:c>
      <x:c r="H1763" s="30" t="str">
        <x:v>year-round</x:v>
      </x:c>
      <x:c r="I17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4">
      <x:c r="A1764" s="36" t="str">
        <x:v>caribbean</x:v>
      </x:c>
      <x:c r="B1764" s="30" t="str">
        <x:v>caribbean-broad-draft-1</x:v>
      </x:c>
      <x:c r="C1764" s="30" t="n">
        <x:v>41156</x:v>
      </x:c>
      <x:c r="D1764" s="32" t="str">
        <x:v>Tree Bat</x:v>
      </x:c>
      <x:c r="E1764" s="32" t="str">
        <x:v>Ardops nichollsi</x:v>
      </x:c>
      <x:c r="F1764" s="30" t="str">
        <x:v>common</x:v>
      </x:c>
      <x:c r="G1764" s="30" t="str">
        <x:v>standard</x:v>
      </x:c>
      <x:c r="H1764" s="30" t="str">
        <x:v>year-round</x:v>
      </x:c>
      <x:c r="I17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5">
      <x:c r="A1765" s="36" t="str">
        <x:v>caribbean</x:v>
      </x:c>
      <x:c r="B1765" s="30" t="str">
        <x:v>caribbean-broad-draft-1</x:v>
      </x:c>
      <x:c r="C1765" s="30" t="n">
        <x:v>43774</x:v>
      </x:c>
      <x:c r="D1765" s="32" t="str">
        <x:v>Hispaniolan Hutia</x:v>
      </x:c>
      <x:c r="E1765" s="32" t="str">
        <x:v>Plagiodontia aedium</x:v>
      </x:c>
      <x:c r="F1765" s="30" t="str">
        <x:v>common</x:v>
      </x:c>
      <x:c r="G1765" s="30" t="str">
        <x:v>standard</x:v>
      </x:c>
      <x:c r="H1765" s="30" t="str">
        <x:v>year-round</x:v>
      </x:c>
      <x:c r="I17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6">
      <x:c r="A1766" s="36" t="str">
        <x:v>caribbean</x:v>
      </x:c>
      <x:c r="B1766" s="30" t="str">
        <x:v>caribbean-broad-draft-1</x:v>
      </x:c>
      <x:c r="C1766" s="30" t="n">
        <x:v>121578</x:v>
      </x:c>
      <x:c r="D1766" s="32" t="str">
        <x:v>Domestic Sheep</x:v>
      </x:c>
      <x:c r="E1766" s="32" t="str">
        <x:v>Ovis aries</x:v>
      </x:c>
      <x:c r="F1766" s="30" t="str">
        <x:v>common</x:v>
      </x:c>
      <x:c r="G1766" s="30" t="str">
        <x:v>standard</x:v>
      </x:c>
      <x:c r="H1766" s="30" t="str">
        <x:v>year-round</x:v>
      </x:c>
      <x:c r="I17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7">
      <x:c r="A1767" s="36" t="str">
        <x:v>caribbean</x:v>
      </x:c>
      <x:c r="B1767" s="30" t="str">
        <x:v>caribbean-broad-draft-1</x:v>
      </x:c>
      <x:c r="C1767" s="30" t="n">
        <x:v>46010</x:v>
      </x:c>
      <x:c r="D1767" s="32" t="str">
        <x:v>Red-tailed Squirrel</x:v>
      </x:c>
      <x:c r="E1767" s="32" t="str">
        <x:v>Sciurus granatensis</x:v>
      </x:c>
      <x:c r="F1767" s="30" t="str">
        <x:v>common</x:v>
      </x:c>
      <x:c r="G1767" s="30" t="str">
        <x:v>standard</x:v>
      </x:c>
      <x:c r="H1767" s="30" t="str">
        <x:v>year-round</x:v>
      </x:c>
      <x:c r="I17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8">
      <x:c r="A1768" s="36" t="str">
        <x:v>caribbean</x:v>
      </x:c>
      <x:c r="B1768" s="30" t="str">
        <x:v>caribbean-broad-draft-1</x:v>
      </x:c>
      <x:c r="C1768" s="30" t="n">
        <x:v>74890</x:v>
      </x:c>
      <x:c r="D1768" s="32" t="str">
        <x:v>Sperm Whale</x:v>
      </x:c>
      <x:c r="E1768" s="32" t="str">
        <x:v>Physeter macrocephalus</x:v>
      </x:c>
      <x:c r="F1768" s="30" t="str">
        <x:v>common</x:v>
      </x:c>
      <x:c r="G1768" s="30" t="str">
        <x:v>standard</x:v>
      </x:c>
      <x:c r="H1768" s="30" t="str">
        <x:v>year-round</x:v>
      </x:c>
      <x:c r="I17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69">
      <x:c r="A1769" s="36" t="str">
        <x:v>caribbean</x:v>
      </x:c>
      <x:c r="B1769" s="30" t="str">
        <x:v>caribbean-broad-draft-1</x:v>
      </x:c>
      <x:c r="C1769" s="30" t="n">
        <x:v>41151</x:v>
      </x:c>
      <x:c r="D1769" s="32" t="str">
        <x:v>Cuban Fig-eating Bat</x:v>
      </x:c>
      <x:c r="E1769" s="32" t="str">
        <x:v>Phyllops falcatus</x:v>
      </x:c>
      <x:c r="F1769" s="30" t="str">
        <x:v>common</x:v>
      </x:c>
      <x:c r="G1769" s="30" t="str">
        <x:v>standard</x:v>
      </x:c>
      <x:c r="H1769" s="30" t="str">
        <x:v>year-round</x:v>
      </x:c>
      <x:c r="I17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0">
      <x:c r="A1770" s="36" t="str">
        <x:v>caribbean</x:v>
      </x:c>
      <x:c r="B1770" s="30" t="str">
        <x:v>caribbean-broad-draft-1</x:v>
      </x:c>
      <x:c r="C1770" s="30" t="n">
        <x:v>43460</x:v>
      </x:c>
      <x:c r="D1770" s="32" t="str">
        <x:v>Rhesus Macaque</x:v>
      </x:c>
      <x:c r="E1770" s="32" t="str">
        <x:v>Macaca mulatta</x:v>
      </x:c>
      <x:c r="F1770" s="30" t="str">
        <x:v>common</x:v>
      </x:c>
      <x:c r="G1770" s="30" t="str">
        <x:v>standard</x:v>
      </x:c>
      <x:c r="H1770" s="30" t="str">
        <x:v>year-round</x:v>
      </x:c>
      <x:c r="I17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1">
      <x:c r="A1771" s="36" t="str">
        <x:v>caribbean</x:v>
      </x:c>
      <x:c r="B1771" s="30" t="str">
        <x:v>caribbean-broad-draft-1</x:v>
      </x:c>
      <x:c r="C1771" s="30" t="n">
        <x:v>41503</x:v>
      </x:c>
      <x:c r="D1771" s="32" t="str">
        <x:v>Atlantic Spotted Dolphin</x:v>
      </x:c>
      <x:c r="E1771" s="32" t="str">
        <x:v>Stenella frontalis</x:v>
      </x:c>
      <x:c r="F1771" s="30" t="str">
        <x:v>common</x:v>
      </x:c>
      <x:c r="G1771" s="30" t="str">
        <x:v>standard</x:v>
      </x:c>
      <x:c r="H1771" s="30" t="str">
        <x:v>year-round</x:v>
      </x:c>
      <x:c r="I17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2">
      <x:c r="A1772" s="36" t="str">
        <x:v>caribbean</x:v>
      </x:c>
      <x:c r="B1772" s="30" t="str">
        <x:v>caribbean-broad-draft-1</x:v>
      </x:c>
      <x:c r="C1772" s="30" t="n">
        <x:v>74184</x:v>
      </x:c>
      <x:c r="D1772" s="32" t="str">
        <x:v>Bahaman Funnel-eared Bat</x:v>
      </x:c>
      <x:c r="E1772" s="32" t="str">
        <x:v>Chilonatalus tumidifrons</x:v>
      </x:c>
      <x:c r="F1772" s="30" t="str">
        <x:v>common</x:v>
      </x:c>
      <x:c r="G1772" s="30" t="str">
        <x:v>standard</x:v>
      </x:c>
      <x:c r="H1772" s="30" t="str">
        <x:v>year-round</x:v>
      </x:c>
      <x:c r="I17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3">
      <x:c r="A1773" s="36" t="str">
        <x:v>caribbean</x:v>
      </x:c>
      <x:c r="B1773" s="30" t="str">
        <x:v>caribbean-broad-draft-1</x:v>
      </x:c>
      <x:c r="C1773" s="30" t="n">
        <x:v>74183</x:v>
      </x:c>
      <x:c r="D1773" s="32" t="str">
        <x:v>Caribbean Lesser Funnel-eared Bat</x:v>
      </x:c>
      <x:c r="E1773" s="32" t="str">
        <x:v>Chilonatalus micropus</x:v>
      </x:c>
      <x:c r="F1773" s="30" t="str">
        <x:v>common</x:v>
      </x:c>
      <x:c r="G1773" s="30" t="str">
        <x:v>standard</x:v>
      </x:c>
      <x:c r="H1773" s="30" t="str">
        <x:v>year-round</x:v>
      </x:c>
      <x:c r="I17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4">
      <x:c r="A1774" s="36" t="str">
        <x:v>caribbean</x:v>
      </x:c>
      <x:c r="B1774" s="30" t="str">
        <x:v>caribbean-broad-draft-1</x:v>
      </x:c>
      <x:c r="C1774" s="30" t="n">
        <x:v>41170</x:v>
      </x:c>
      <x:c r="D1774" s="32" t="str">
        <x:v>Western Antillean Fruit-eating Bat</x:v>
      </x:c>
      <x:c r="E1774" s="32" t="str">
        <x:v>Brachyphylla nana</x:v>
      </x:c>
      <x:c r="F1774" s="30" t="str">
        <x:v>common</x:v>
      </x:c>
      <x:c r="G1774" s="30" t="str">
        <x:v>standard</x:v>
      </x:c>
      <x:c r="H1774" s="30" t="str">
        <x:v>year-round</x:v>
      </x:c>
      <x:c r="I17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5">
      <x:c r="A1775" s="36" t="str">
        <x:v>caribbean</x:v>
      </x:c>
      <x:c r="B1775" s="30" t="str">
        <x:v>caribbean-broad-draft-1</x:v>
      </x:c>
      <x:c r="C1775" s="30" t="n">
        <x:v>852338</x:v>
      </x:c>
      <x:c r="D1775" s="32" t="str">
        <x:v>Red-rumped Agouti</x:v>
      </x:c>
      <x:c r="E1775" s="32" t="str">
        <x:v>Dasyprocta leporina</x:v>
      </x:c>
      <x:c r="F1775" s="30" t="str">
        <x:v>common</x:v>
      </x:c>
      <x:c r="G1775" s="30" t="str">
        <x:v>standard</x:v>
      </x:c>
      <x:c r="H1775" s="30" t="str">
        <x:v>year-round</x:v>
      </x:c>
      <x:c r="I17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6">
      <x:c r="A1776" s="36" t="str">
        <x:v>caribbean</x:v>
      </x:c>
      <x:c r="B1776" s="30" t="str">
        <x:v>caribbean-broad-draft-1</x:v>
      </x:c>
      <x:c r="C1776" s="30" t="n">
        <x:v>40273</x:v>
      </x:c>
      <x:c r="D1776" s="32" t="str">
        <x:v>Schwartz's myotis</x:v>
      </x:c>
      <x:c r="E1776" s="32" t="str">
        <x:v>Myotis martiniquensis</x:v>
      </x:c>
      <x:c r="F1776" s="30" t="str">
        <x:v>common</x:v>
      </x:c>
      <x:c r="G1776" s="30" t="str">
        <x:v>standard</x:v>
      </x:c>
      <x:c r="H1776" s="30" t="str">
        <x:v>year-round</x:v>
      </x:c>
      <x:c r="I17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7">
      <x:c r="A1777" s="36" t="str">
        <x:v>caribbean</x:v>
      </x:c>
      <x:c r="B1777" s="30" t="str">
        <x:v>caribbean-broad-draft-1</x:v>
      </x:c>
      <x:c r="C1777" s="30" t="n">
        <x:v>41164</x:v>
      </x:c>
      <x:c r="D1777" s="32" t="str">
        <x:v>Jamaican fig-eating bat</x:v>
      </x:c>
      <x:c r="E1777" s="32" t="str">
        <x:v>Ariteus flavescens</x:v>
      </x:c>
      <x:c r="F1777" s="30" t="str">
        <x:v>common</x:v>
      </x:c>
      <x:c r="G1777" s="30" t="str">
        <x:v>standard</x:v>
      </x:c>
      <x:c r="H1777" s="30" t="str">
        <x:v>year-round</x:v>
      </x:c>
      <x:c r="I17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8">
      <x:c r="A1778" s="36" t="str">
        <x:v>caribbean</x:v>
      </x:c>
      <x:c r="B1778" s="30" t="str">
        <x:v>caribbean-broad-draft-1</x:v>
      </x:c>
      <x:c r="C1778" s="30" t="n">
        <x:v>41532</x:v>
      </x:c>
      <x:c r="D1778" s="32" t="str">
        <x:v>Short-finned Pilot Whale</x:v>
      </x:c>
      <x:c r="E1778" s="32" t="str">
        <x:v>Globicephala macrorhynchus</x:v>
      </x:c>
      <x:c r="F1778" s="30" t="str">
        <x:v>common</x:v>
      </x:c>
      <x:c r="G1778" s="30" t="str">
        <x:v>standard</x:v>
      </x:c>
      <x:c r="H1778" s="30" t="str">
        <x:v>year-round</x:v>
      </x:c>
      <x:c r="I17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79">
      <x:c r="A1779" s="36" t="str">
        <x:v>caribbean</x:v>
      </x:c>
      <x:c r="B1779" s="30" t="str">
        <x:v>caribbean-broad-draft-1</x:v>
      </x:c>
      <x:c r="C1779" s="30" t="n">
        <x:v>41523</x:v>
      </x:c>
      <x:c r="D1779" s="32" t="str">
        <x:v>Fraser's Dolphin</x:v>
      </x:c>
      <x:c r="E1779" s="32" t="str">
        <x:v>Lagenodelphis hosei</x:v>
      </x:c>
      <x:c r="F1779" s="30" t="str">
        <x:v>common</x:v>
      </x:c>
      <x:c r="G1779" s="30" t="str">
        <x:v>standard</x:v>
      </x:c>
      <x:c r="H1779" s="30" t="str">
        <x:v>year-round</x:v>
      </x:c>
      <x:c r="I17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0">
      <x:c r="A1780" s="36" t="str">
        <x:v>caribbean</x:v>
      </x:c>
      <x:c r="B1780" s="30" t="str">
        <x:v>caribbean-broad-draft-1</x:v>
      </x:c>
      <x:c r="C1780" s="30" t="n">
        <x:v>41176</x:v>
      </x:c>
      <x:c r="D1780" s="32" t="str">
        <x:v>Insular Long-tongued Bat</x:v>
      </x:c>
      <x:c r="E1780" s="32" t="str">
        <x:v>Monophyllus plethodon</x:v>
      </x:c>
      <x:c r="F1780" s="30" t="str">
        <x:v>common</x:v>
      </x:c>
      <x:c r="G1780" s="30" t="str">
        <x:v>standard</x:v>
      </x:c>
      <x:c r="H1780" s="30" t="str">
        <x:v>year-round</x:v>
      </x:c>
      <x:c r="I17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1">
      <x:c r="A1781" s="36" t="str">
        <x:v>caribbean</x:v>
      </x:c>
      <x:c r="B1781" s="30" t="str">
        <x:v>caribbean-broad-draft-1</x:v>
      </x:c>
      <x:c r="C1781" s="30" t="n">
        <x:v>41131</x:v>
      </x:c>
      <x:c r="D1781" s="32" t="str">
        <x:v>Cuban Flower Bat</x:v>
      </x:c>
      <x:c r="E1781" s="32" t="str">
        <x:v>Phyllonycteris poeyi</x:v>
      </x:c>
      <x:c r="F1781" s="30" t="str">
        <x:v>common</x:v>
      </x:c>
      <x:c r="G1781" s="30" t="str">
        <x:v>standard</x:v>
      </x:c>
      <x:c r="H1781" s="30" t="str">
        <x:v>year-round</x:v>
      </x:c>
      <x:c r="I17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2">
      <x:c r="A1782" s="36" t="str">
        <x:v>caribbean</x:v>
      </x:c>
      <x:c r="B1782" s="30" t="str">
        <x:v>caribbean-broad-draft-1</x:v>
      </x:c>
      <x:c r="C1782" s="30" t="n">
        <x:v>41219</x:v>
      </x:c>
      <x:c r="D1782" s="32" t="str">
        <x:v>Davy's naked-backed bat</x:v>
      </x:c>
      <x:c r="E1782" s="32" t="str">
        <x:v>Pteronotus davyi</x:v>
      </x:c>
      <x:c r="F1782" s="30" t="str">
        <x:v>common</x:v>
      </x:c>
      <x:c r="G1782" s="30" t="str">
        <x:v>standard</x:v>
      </x:c>
      <x:c r="H1782" s="30" t="str">
        <x:v>year-round</x:v>
      </x:c>
      <x:c r="I17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3">
      <x:c r="A1783" s="36" t="str">
        <x:v>caribbean</x:v>
      </x:c>
      <x:c r="B1783" s="30" t="str">
        <x:v>caribbean-broad-draft-1</x:v>
      </x:c>
      <x:c r="C1783" s="30" t="n">
        <x:v>1596125</x:v>
      </x:c>
      <x:c r="D1783" s="32" t="str">
        <x:v>Caribbean Brown Bat</x:v>
      </x:c>
      <x:c r="E1783" s="32" t="str">
        <x:v>Eptesicus dutertreus</x:v>
      </x:c>
      <x:c r="F1783" s="30" t="str">
        <x:v>common</x:v>
      </x:c>
      <x:c r="G1783" s="30" t="str">
        <x:v>standard</x:v>
      </x:c>
      <x:c r="H1783" s="30" t="str">
        <x:v>year-round</x:v>
      </x:c>
      <x:c r="I17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4">
      <x:c r="A1784" s="36" t="str">
        <x:v>caribbean</x:v>
      </x:c>
      <x:c r="B1784" s="30" t="str">
        <x:v>caribbean-broad-draft-1</x:v>
      </x:c>
      <x:c r="C1784" s="30" t="n">
        <x:v>43779</x:v>
      </x:c>
      <x:c r="D1784" s="32" t="str">
        <x:v>Bahamian Hutia</x:v>
      </x:c>
      <x:c r="E1784" s="32" t="str">
        <x:v>Geocapromys ingrahami</x:v>
      </x:c>
      <x:c r="F1784" s="30" t="str">
        <x:v>common</x:v>
      </x:c>
      <x:c r="G1784" s="30" t="str">
        <x:v>standard</x:v>
      </x:c>
      <x:c r="H1784" s="30" t="str">
        <x:v>year-round</x:v>
      </x:c>
      <x:c r="I17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5">
      <x:c r="A1785" s="36" t="str">
        <x:v>caribbean</x:v>
      </x:c>
      <x:c r="B1785" s="30" t="str">
        <x:v>caribbean-broad-draft-1</x:v>
      </x:c>
      <x:c r="C1785" s="30" t="n">
        <x:v>43778</x:v>
      </x:c>
      <x:c r="D1785" s="32" t="str">
        <x:v>Jamaican Hutia</x:v>
      </x:c>
      <x:c r="E1785" s="32" t="str">
        <x:v>Geocapromys brownii</x:v>
      </x:c>
      <x:c r="F1785" s="30" t="str">
        <x:v>common</x:v>
      </x:c>
      <x:c r="G1785" s="30" t="str">
        <x:v>standard</x:v>
      </x:c>
      <x:c r="H1785" s="30" t="str">
        <x:v>year-round</x:v>
      </x:c>
      <x:c r="I17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6">
      <x:c r="A1786" s="36" t="str">
        <x:v>caribbean</x:v>
      </x:c>
      <x:c r="B1786" s="30" t="str">
        <x:v>caribbean-broad-draft-1</x:v>
      </x:c>
      <x:c r="C1786" s="30" t="n">
        <x:v>43781</x:v>
      </x:c>
      <x:c r="D1786" s="32" t="str">
        <x:v>Prehensile-tailed Hutia</x:v>
      </x:c>
      <x:c r="E1786" s="32" t="str">
        <x:v>Mysateles prehensilis</x:v>
      </x:c>
      <x:c r="F1786" s="30" t="str">
        <x:v>common</x:v>
      </x:c>
      <x:c r="G1786" s="30" t="str">
        <x:v>standard</x:v>
      </x:c>
      <x:c r="H1786" s="30" t="str">
        <x:v>year-round</x:v>
      </x:c>
      <x:c r="I17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7">
      <x:c r="A1787" s="36" t="str">
        <x:v>caribbean</x:v>
      </x:c>
      <x:c r="B1787" s="30" t="str">
        <x:v>caribbean-broad-draft-1</x:v>
      </x:c>
      <x:c r="C1787" s="30" t="n">
        <x:v>43151</x:v>
      </x:c>
      <x:c r="D1787" s="32" t="str">
        <x:v>European Rabbit</x:v>
      </x:c>
      <x:c r="E1787" s="32" t="str">
        <x:v>Oryctolagus cuniculus</x:v>
      </x:c>
      <x:c r="F1787" s="30" t="str">
        <x:v>common</x:v>
      </x:c>
      <x:c r="G1787" s="30" t="str">
        <x:v>standard</x:v>
      </x:c>
      <x:c r="H1787" s="30" t="str">
        <x:v>year-round</x:v>
      </x:c>
      <x:c r="I17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8">
      <x:c r="A1788" s="36" t="str">
        <x:v>caribbean</x:v>
      </x:c>
      <x:c r="B1788" s="30" t="str">
        <x:v>caribbean-broad-draft-1</x:v>
      </x:c>
      <x:c r="C1788" s="30" t="n">
        <x:v>41221</x:v>
      </x:c>
      <x:c r="D1788" s="32" t="str">
        <x:v>Parnell's Common Mustached Bat</x:v>
      </x:c>
      <x:c r="E1788" s="32" t="str">
        <x:v>Pteronotus parnellii</x:v>
      </x:c>
      <x:c r="F1788" s="30" t="str">
        <x:v>common</x:v>
      </x:c>
      <x:c r="G1788" s="30" t="str">
        <x:v>standard</x:v>
      </x:c>
      <x:c r="H1788" s="30" t="str">
        <x:v>year-round</x:v>
      </x:c>
      <x:c r="I17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89">
      <x:c r="A1789" s="36" t="str">
        <x:v>caribbean</x:v>
      </x:c>
      <x:c r="B1789" s="30" t="str">
        <x:v>caribbean-broad-draft-1</x:v>
      </x:c>
      <x:c r="C1789" s="30" t="n">
        <x:v>41130</x:v>
      </x:c>
      <x:c r="D1789" s="32" t="str">
        <x:v>Jamaican flower bat</x:v>
      </x:c>
      <x:c r="E1789" s="32" t="str">
        <x:v>Phyllonycteris aphylla</x:v>
      </x:c>
      <x:c r="F1789" s="30" t="str">
        <x:v>common</x:v>
      </x:c>
      <x:c r="G1789" s="30" t="str">
        <x:v>standard</x:v>
      </x:c>
      <x:c r="H1789" s="30" t="str">
        <x:v>year-round</x:v>
      </x:c>
      <x:c r="I17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0">
      <x:c r="A1790" s="36" t="str">
        <x:v>caribbean</x:v>
      </x:c>
      <x:c r="B1790" s="30" t="str">
        <x:v>caribbean-broad-draft-1</x:v>
      </x:c>
      <x:c r="C1790" s="30" t="n">
        <x:v>40509</x:v>
      </x:c>
      <x:c r="D1790" s="32" t="str">
        <x:v>Big Brown Bat</x:v>
      </x:c>
      <x:c r="E1790" s="32" t="str">
        <x:v>Eptesicus fuscus</x:v>
      </x:c>
      <x:c r="F1790" s="30" t="str">
        <x:v>common</x:v>
      </x:c>
      <x:c r="G1790" s="30" t="str">
        <x:v>standard</x:v>
      </x:c>
      <x:c r="H1790" s="30" t="str">
        <x:v>year-round</x:v>
      </x:c>
      <x:c r="I17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1">
      <x:c r="A1791" s="36" t="str">
        <x:v>caribbean</x:v>
      </x:c>
      <x:c r="B1791" s="30" t="str">
        <x:v>caribbean-broad-draft-1</x:v>
      </x:c>
      <x:c r="C1791" s="30" t="n">
        <x:v>1430973</x:v>
      </x:c>
      <x:c r="D1791" s="32" t="str">
        <x:v>Black-tailed Hutia</x:v>
      </x:c>
      <x:c r="E1791" s="32" t="str">
        <x:v>Mesocapromys melanurus</x:v>
      </x:c>
      <x:c r="F1791" s="30" t="str">
        <x:v>uncommon</x:v>
      </x:c>
      <x:c r="G1791" s="30" t="str">
        <x:v>standard</x:v>
      </x:c>
      <x:c r="H1791" s="30" t="str">
        <x:v>year-round</x:v>
      </x:c>
      <x:c r="I17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2">
      <x:c r="A1792" s="36" t="str">
        <x:v>caribbean</x:v>
      </x:c>
      <x:c r="B1792" s="30" t="str">
        <x:v>caribbean-broad-draft-1</x:v>
      </x:c>
      <x:c r="C1792" s="30" t="n">
        <x:v>74796</x:v>
      </x:c>
      <x:c r="D1792" s="32" t="str">
        <x:v>Gervais's Funnel-eared Bat</x:v>
      </x:c>
      <x:c r="E1792" s="32" t="str">
        <x:v>Nyctiellus lepidus</x:v>
      </x:c>
      <x:c r="F1792" s="30" t="str">
        <x:v>uncommon</x:v>
      </x:c>
      <x:c r="G1792" s="30" t="str">
        <x:v>standard</x:v>
      </x:c>
      <x:c r="H1792" s="30" t="str">
        <x:v>year-round</x:v>
      </x:c>
      <x:c r="I17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3">
      <x:c r="A1793" s="36" t="str">
        <x:v>caribbean</x:v>
      </x:c>
      <x:c r="B1793" s="30" t="str">
        <x:v>caribbean-broad-draft-1</x:v>
      </x:c>
      <x:c r="C1793" s="30" t="n">
        <x:v>1453918</x:v>
      </x:c>
      <x:c r="D1793" s="32" t="str">
        <x:v>Hispaniolan Common Mustached Bat</x:v>
      </x:c>
      <x:c r="E1793" s="32" t="str">
        <x:v>Pteronotus pusillus</x:v>
      </x:c>
      <x:c r="F1793" s="30" t="str">
        <x:v>uncommon</x:v>
      </x:c>
      <x:c r="G1793" s="30" t="str">
        <x:v>standard</x:v>
      </x:c>
      <x:c r="H1793" s="30" t="str">
        <x:v>year-round</x:v>
      </x:c>
      <x:c r="I17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4">
      <x:c r="A1794" s="36" t="str">
        <x:v>caribbean</x:v>
      </x:c>
      <x:c r="B1794" s="30" t="str">
        <x:v>caribbean-broad-draft-1</x:v>
      </x:c>
      <x:c r="C1794" s="30" t="n">
        <x:v>41173</x:v>
      </x:c>
      <x:c r="D1794" s="32" t="str">
        <x:v>red fig-eating bat</x:v>
      </x:c>
      <x:c r="E1794" s="32" t="str">
        <x:v>Stenoderma rufum</x:v>
      </x:c>
      <x:c r="F1794" s="30" t="str">
        <x:v>common</x:v>
      </x:c>
      <x:c r="G1794" s="30" t="str">
        <x:v>standard</x:v>
      </x:c>
      <x:c r="H1794" s="30" t="str">
        <x:v>year-round</x:v>
      </x:c>
      <x:c r="I17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5">
      <x:c r="A1795" s="36" t="str">
        <x:v>caribbean</x:v>
      </x:c>
      <x:c r="B1795" s="30" t="str">
        <x:v>caribbean-broad-draft-1</x:v>
      </x:c>
      <x:c r="C1795" s="30" t="n">
        <x:v>1067746</x:v>
      </x:c>
      <x:c r="D1795" s="32" t="str">
        <x:v>Thomas's Yellow-shouldered Bat</x:v>
      </x:c>
      <x:c r="E1795" s="32" t="str">
        <x:v>Sturnira angeli</x:v>
      </x:c>
      <x:c r="F1795" s="30" t="str">
        <x:v>uncommon</x:v>
      </x:c>
      <x:c r="G1795" s="30" t="str">
        <x:v>standard</x:v>
      </x:c>
      <x:c r="H1795" s="30" t="str">
        <x:v>year-round</x:v>
      </x:c>
      <x:c r="I17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6">
      <x:c r="A1796" s="36" t="str">
        <x:v>caribbean</x:v>
      </x:c>
      <x:c r="B1796" s="30" t="str">
        <x:v>caribbean-broad-draft-1</x:v>
      </x:c>
      <x:c r="C1796" s="30" t="n">
        <x:v>43111</x:v>
      </x:c>
      <x:c r="D1796" s="32" t="str">
        <x:v>Eastern Cottontail</x:v>
      </x:c>
      <x:c r="E1796" s="32" t="str">
        <x:v>Sylvilagus floridanus</x:v>
      </x:c>
      <x:c r="F1796" s="30" t="str">
        <x:v>common</x:v>
      </x:c>
      <x:c r="G1796" s="30" t="str">
        <x:v>standard</x:v>
      </x:c>
      <x:c r="H1796" s="30" t="str">
        <x:v>year-round</x:v>
      </x:c>
      <x:c r="I17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7">
      <x:c r="A1797" s="36" t="str">
        <x:v>caribbean</x:v>
      </x:c>
      <x:c r="B1797" s="30" t="str">
        <x:v>caribbean-broad-draft-1</x:v>
      </x:c>
      <x:c r="C1797" s="30" t="n">
        <x:v>607152</x:v>
      </x:c>
      <x:c r="D1797" s="32" t="str">
        <x:v>Cuban Solenodon</x:v>
      </x:c>
      <x:c r="E1797" s="32" t="str">
        <x:v>Atopogale cubana</x:v>
      </x:c>
      <x:c r="F1797" s="30" t="str">
        <x:v>uncommon</x:v>
      </x:c>
      <x:c r="G1797" s="30" t="str">
        <x:v>standard</x:v>
      </x:c>
      <x:c r="H1797" s="30" t="str">
        <x:v>year-round</x:v>
      </x:c>
      <x:c r="I17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8">
      <x:c r="A1798" s="36" t="str">
        <x:v>caribbean</x:v>
      </x:c>
      <x:c r="B1798" s="30" t="str">
        <x:v>caribbean-broad-draft-1</x:v>
      </x:c>
      <x:c r="C1798" s="30" t="n">
        <x:v>74190</x:v>
      </x:c>
      <x:c r="D1798" s="32" t="str">
        <x:v>Green Monkey</x:v>
      </x:c>
      <x:c r="E1798" s="32" t="str">
        <x:v>Chlorocebus sabaeus</x:v>
      </x:c>
      <x:c r="F1798" s="30" t="str">
        <x:v>uncommon</x:v>
      </x:c>
      <x:c r="G1798" s="30" t="str">
        <x:v>standard</x:v>
      </x:c>
      <x:c r="H1798" s="30" t="str">
        <x:v>year-round</x:v>
      </x:c>
      <x:c r="I17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799">
      <x:c r="A1799" s="36" t="str">
        <x:v>caribbean</x:v>
      </x:c>
      <x:c r="B1799" s="30" t="str">
        <x:v>caribbean-broad-draft-1</x:v>
      </x:c>
      <x:c r="C1799" s="30" t="n">
        <x:v>1431096</x:v>
      </x:c>
      <x:c r="D1799" s="32" t="str">
        <x:v>Jamaican Long-tongued Bat</x:v>
      </x:c>
      <x:c r="E1799" s="32" t="str">
        <x:v>Glossophaga antillarum</x:v>
      </x:c>
      <x:c r="F1799" s="30" t="str">
        <x:v>uncommon</x:v>
      </x:c>
      <x:c r="G1799" s="30" t="str">
        <x:v>standard</x:v>
      </x:c>
      <x:c r="H1799" s="30" t="str">
        <x:v>year-round</x:v>
      </x:c>
      <x:c r="I17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0">
      <x:c r="A1800" s="36" t="str">
        <x:v>caribbean</x:v>
      </x:c>
      <x:c r="B1800" s="30" t="str">
        <x:v>caribbean-broad-draft-1</x:v>
      </x:c>
      <x:c r="C1800" s="30" t="n">
        <x:v>41090</x:v>
      </x:c>
      <x:c r="D1800" s="32" t="str">
        <x:v>Pallas's Long-tongued Bat</x:v>
      </x:c>
      <x:c r="E1800" s="32" t="str">
        <x:v>Glossophaga soricina</x:v>
      </x:c>
      <x:c r="F1800" s="30" t="str">
        <x:v>uncommon</x:v>
      </x:c>
      <x:c r="G1800" s="30" t="str">
        <x:v>standard</x:v>
      </x:c>
      <x:c r="H1800" s="30" t="str">
        <x:v>year-round</x:v>
      </x:c>
      <x:c r="I18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1">
      <x:c r="A1801" s="36" t="str">
        <x:v>caribbean</x:v>
      </x:c>
      <x:c r="B1801" s="30" t="str">
        <x:v>caribbean-broad-draft-1</x:v>
      </x:c>
      <x:c r="C1801" s="30" t="n">
        <x:v>41465</x:v>
      </x:c>
      <x:c r="D1801" s="32" t="str">
        <x:v>Dwarf Sperm Whale</x:v>
      </x:c>
      <x:c r="E1801" s="32" t="str">
        <x:v>Kogia sima</x:v>
      </x:c>
      <x:c r="F1801" s="30" t="str">
        <x:v>uncommon</x:v>
      </x:c>
      <x:c r="G1801" s="30" t="str">
        <x:v>standard</x:v>
      </x:c>
      <x:c r="H1801" s="30" t="str">
        <x:v>year-round</x:v>
      </x:c>
      <x:c r="I18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2">
      <x:c r="A1802" s="36" t="str">
        <x:v>caribbean</x:v>
      </x:c>
      <x:c r="B1802" s="30" t="str">
        <x:v>caribbean-broad-draft-1</x:v>
      </x:c>
      <x:c r="C1802" s="30" t="n">
        <x:v>40522</x:v>
      </x:c>
      <x:c r="D1802" s="32" t="str">
        <x:v>Eastern Red Bat</x:v>
      </x:c>
      <x:c r="E1802" s="32" t="str">
        <x:v>Lasiurus borealis</x:v>
      </x:c>
      <x:c r="F1802" s="30" t="str">
        <x:v>uncommon</x:v>
      </x:c>
      <x:c r="G1802" s="30" t="str">
        <x:v>standard</x:v>
      </x:c>
      <x:c r="H1802" s="30" t="str">
        <x:v>year-round</x:v>
      </x:c>
      <x:c r="I18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3">
      <x:c r="A1803" s="36" t="str">
        <x:v>caribbean</x:v>
      </x:c>
      <x:c r="B1803" s="30" t="str">
        <x:v>caribbean-broad-draft-1</x:v>
      </x:c>
      <x:c r="C1803" s="30" t="n">
        <x:v>40519</x:v>
      </x:c>
      <x:c r="D1803" s="32" t="str">
        <x:v>Minor Red Bat</x:v>
      </x:c>
      <x:c r="E1803" s="32" t="str">
        <x:v>Lasiurus minor</x:v>
      </x:c>
      <x:c r="F1803" s="30" t="str">
        <x:v>uncommon</x:v>
      </x:c>
      <x:c r="G1803" s="30" t="str">
        <x:v>standard</x:v>
      </x:c>
      <x:c r="H1803" s="30" t="str">
        <x:v>year-round</x:v>
      </x:c>
      <x:c r="I18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4">
      <x:c r="A1804" s="36" t="str">
        <x:v>caribbean</x:v>
      </x:c>
      <x:c r="B1804" s="30" t="str">
        <x:v>caribbean-broad-draft-1</x:v>
      </x:c>
      <x:c r="C1804" s="30" t="n">
        <x:v>40321</x:v>
      </x:c>
      <x:c r="D1804" s="32" t="str">
        <x:v>Dominican myotis</x:v>
      </x:c>
      <x:c r="E1804" s="32" t="str">
        <x:v>Myotis dominicensis</x:v>
      </x:c>
      <x:c r="F1804" s="30" t="str">
        <x:v>uncommon</x:v>
      </x:c>
      <x:c r="G1804" s="30" t="str">
        <x:v>standard</x:v>
      </x:c>
      <x:c r="H1804" s="30" t="str">
        <x:v>year-round</x:v>
      </x:c>
      <x:c r="I18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5">
      <x:c r="A1805" s="36" t="str">
        <x:v>caribbean</x:v>
      </x:c>
      <x:c r="B1805" s="30" t="str">
        <x:v>caribbean-broad-draft-1</x:v>
      </x:c>
      <x:c r="C1805" s="30" t="n">
        <x:v>41204</x:v>
      </x:c>
      <x:c r="D1805" s="32" t="str">
        <x:v>Mexican Funnel-eared Bat</x:v>
      </x:c>
      <x:c r="E1805" s="32" t="str">
        <x:v>Natalus stramineus</x:v>
      </x:c>
      <x:c r="F1805" s="30" t="str">
        <x:v>uncommon</x:v>
      </x:c>
      <x:c r="G1805" s="30" t="str">
        <x:v>standard</x:v>
      </x:c>
      <x:c r="H1805" s="30" t="str">
        <x:v>year-round</x:v>
      </x:c>
      <x:c r="I18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6">
      <x:c r="A1806" s="36" t="str">
        <x:v>caribbean</x:v>
      </x:c>
      <x:c r="B1806" s="30" t="str">
        <x:v>caribbean-broad-draft-1</x:v>
      </x:c>
      <x:c r="C1806" s="30" t="n">
        <x:v>41539</x:v>
      </x:c>
      <x:c r="D1806" s="32" t="str">
        <x:v>False Killer Whale</x:v>
      </x:c>
      <x:c r="E1806" s="32" t="str">
        <x:v>Pseudorca crassidens</x:v>
      </x:c>
      <x:c r="F1806" s="30" t="str">
        <x:v>uncommon</x:v>
      </x:c>
      <x:c r="G1806" s="30" t="str">
        <x:v>standard</x:v>
      </x:c>
      <x:c r="H1806" s="30" t="str">
        <x:v>year-round</x:v>
      </x:c>
      <x:c r="I18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7">
      <x:c r="A1807" s="36" t="str">
        <x:v>caribbean</x:v>
      </x:c>
      <x:c r="B1807" s="30" t="str">
        <x:v>caribbean-broad-draft-1</x:v>
      </x:c>
      <x:c r="C1807" s="30" t="n">
        <x:v>1453919</x:v>
      </x:c>
      <x:c r="D1807" s="32" t="str">
        <x:v>Puerto Rican Common Mustached Bat</x:v>
      </x:c>
      <x:c r="E1807" s="32" t="str">
        <x:v>Pteronotus portoricensis</x:v>
      </x:c>
      <x:c r="F1807" s="30" t="str">
        <x:v>uncommon</x:v>
      </x:c>
      <x:c r="G1807" s="30" t="str">
        <x:v>standard</x:v>
      </x:c>
      <x:c r="H1807" s="30" t="str">
        <x:v>year-round</x:v>
      </x:c>
      <x:c r="I18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8">
      <x:c r="A1808" s="36" t="str">
        <x:v>caribbean</x:v>
      </x:c>
      <x:c r="B1808" s="30" t="str">
        <x:v>caribbean-broad-draft-1</x:v>
      </x:c>
      <x:c r="C1808" s="30" t="n">
        <x:v>41545</x:v>
      </x:c>
      <x:c r="D1808" s="32" t="str">
        <x:v>Rough-toothed Dolphin</x:v>
      </x:c>
      <x:c r="E1808" s="32" t="str">
        <x:v>Steno bredanensis</x:v>
      </x:c>
      <x:c r="F1808" s="30" t="str">
        <x:v>uncommon</x:v>
      </x:c>
      <x:c r="G1808" s="30" t="str">
        <x:v>standard</x:v>
      </x:c>
      <x:c r="H1808" s="30" t="str">
        <x:v>year-round</x:v>
      </x:c>
      <x:c r="I18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09">
      <x:c r="A1809" s="36" t="str">
        <x:v>caribbean</x:v>
      </x:c>
      <x:c r="B1809" s="30" t="str">
        <x:v>caribbean-broad-draft-1</x:v>
      </x:c>
      <x:c r="C1809" s="30" t="n">
        <x:v>41428</x:v>
      </x:c>
      <x:c r="D1809" s="32" t="str">
        <x:v>Cuvier's Beaked Whale</x:v>
      </x:c>
      <x:c r="E1809" s="32" t="str">
        <x:v>Ziphius cavirostris</x:v>
      </x:c>
      <x:c r="F1809" s="30" t="str">
        <x:v>uncommon</x:v>
      </x:c>
      <x:c r="G1809" s="30" t="str">
        <x:v>standard</x:v>
      </x:c>
      <x:c r="H1809" s="30" t="str">
        <x:v>year-round</x:v>
      </x:c>
      <x:c r="I18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0">
      <x:c r="A1810" s="36" t="str">
        <x:v>caribbean</x:v>
      </x:c>
      <x:c r="B1810" s="30" t="str">
        <x:v>caribbean-broad-draft-1</x:v>
      </x:c>
      <x:c r="C1810" s="30" t="n">
        <x:v>41562</x:v>
      </x:c>
      <x:c r="D1810" s="32" t="str">
        <x:v>Fin Whale</x:v>
      </x:c>
      <x:c r="E1810" s="32" t="str">
        <x:v>Balaenoptera physalus</x:v>
      </x:c>
      <x:c r="F1810" s="30" t="str">
        <x:v>rare</x:v>
      </x:c>
      <x:c r="G1810" s="30" t="str">
        <x:v>standard</x:v>
      </x:c>
      <x:c r="H1810" s="30" t="str">
        <x:v>year-round</x:v>
      </x:c>
      <x:c r="I18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1">
      <x:c r="A1811" s="36" t="str">
        <x:v>caribbean</x:v>
      </x:c>
      <x:c r="B1811" s="30" t="str">
        <x:v>caribbean-broad-draft-1</x:v>
      </x:c>
      <x:c r="C1811" s="30" t="n">
        <x:v>81925</x:v>
      </x:c>
      <x:c r="D1811" s="32" t="str">
        <x:v>Domestic Water Buffalo</x:v>
      </x:c>
      <x:c r="E1811" s="32" t="str">
        <x:v>Bubalus bubalis</x:v>
      </x:c>
      <x:c r="F1811" s="30" t="str">
        <x:v>rare</x:v>
      </x:c>
      <x:c r="G1811" s="30" t="str">
        <x:v>standard</x:v>
      </x:c>
      <x:c r="H1811" s="30" t="str">
        <x:v>year-round</x:v>
      </x:c>
      <x:c r="I18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2">
      <x:c r="A1812" s="36" t="str">
        <x:v>caribbean</x:v>
      </x:c>
      <x:c r="B1812" s="30" t="str">
        <x:v>caribbean-broad-draft-1</x:v>
      </x:c>
      <x:c r="C1812" s="30" t="n">
        <x:v>1369296</x:v>
      </x:c>
      <x:c r="D1812" s="32" t="str">
        <x:v>Central American White-faced Capuchin</x:v>
      </x:c>
      <x:c r="E1812" s="32" t="str">
        <x:v>Cebus imitator</x:v>
      </x:c>
      <x:c r="F1812" s="30" t="str">
        <x:v>very_rare</x:v>
      </x:c>
      <x:c r="G1812" s="30" t="str">
        <x:v>standard</x:v>
      </x:c>
      <x:c r="H1812" s="30" t="str">
        <x:v>year-round</x:v>
      </x:c>
      <x:c r="I18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3">
      <x:c r="A1813" s="36" t="str">
        <x:v>caribbean</x:v>
      </x:c>
      <x:c r="B1813" s="30" t="str">
        <x:v>caribbean-broad-draft-1</x:v>
      </x:c>
      <x:c r="C1813" s="30" t="n">
        <x:v>41011</x:v>
      </x:c>
      <x:c r="D1813" s="32" t="str">
        <x:v>Guadeloupe big-eyed bat</x:v>
      </x:c>
      <x:c r="E1813" s="32" t="str">
        <x:v>Chiroderma improvisum</x:v>
      </x:c>
      <x:c r="F1813" s="30" t="str">
        <x:v>uncommon</x:v>
      </x:c>
      <x:c r="G1813" s="30" t="str">
        <x:v>standard</x:v>
      </x:c>
      <x:c r="H1813" s="30" t="str">
        <x:v>year-round</x:v>
      </x:c>
      <x:c r="I18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4">
      <x:c r="A1814" s="36" t="str">
        <x:v>caribbean</x:v>
      </x:c>
      <x:c r="B1814" s="30" t="str">
        <x:v>caribbean-broad-draft-1</x:v>
      </x:c>
      <x:c r="C1814" s="30" t="n">
        <x:v>42161</x:v>
      </x:c>
      <x:c r="D1814" s="32" t="str">
        <x:v>European Fallow Deer</x:v>
      </x:c>
      <x:c r="E1814" s="32" t="str">
        <x:v>Dama dama</x:v>
      </x:c>
      <x:c r="F1814" s="30" t="str">
        <x:v>rare</x:v>
      </x:c>
      <x:c r="G1814" s="30" t="str">
        <x:v>standard</x:v>
      </x:c>
      <x:c r="H1814" s="30" t="str">
        <x:v>year-round</x:v>
      </x:c>
      <x:c r="I18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5">
      <x:c r="A1815" s="36" t="str">
        <x:v>caribbean</x:v>
      </x:c>
      <x:c r="B1815" s="30" t="str">
        <x:v>caribbean-broad-draft-1</x:v>
      </x:c>
      <x:c r="C1815" s="30" t="n">
        <x:v>1275370</x:v>
      </x:c>
      <x:c r="D1815" s="32" t="str">
        <x:v>Seven-banded Long-nosed Armadillo</x:v>
      </x:c>
      <x:c r="E1815" s="32" t="str">
        <x:v>Dasypus septemcinctus</x:v>
      </x:c>
      <x:c r="F1815" s="30" t="str">
        <x:v>rare</x:v>
      </x:c>
      <x:c r="G1815" s="30" t="str">
        <x:v>standard</x:v>
      </x:c>
      <x:c r="H1815" s="30" t="str">
        <x:v>year-round</x:v>
      </x:c>
      <x:c r="I18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6">
      <x:c r="A1816" s="36" t="str">
        <x:v>caribbean</x:v>
      </x:c>
      <x:c r="B1816" s="30" t="str">
        <x:v>caribbean-broad-draft-1</x:v>
      </x:c>
      <x:c r="C1816" s="30" t="n">
        <x:v>43462</x:v>
      </x:c>
      <x:c r="D1816" s="32" t="str">
        <x:v>Patas Monkey</x:v>
      </x:c>
      <x:c r="E1816" s="32" t="str">
        <x:v>Erythrocebus patas</x:v>
      </x:c>
      <x:c r="F1816" s="30" t="str">
        <x:v>rare</x:v>
      </x:c>
      <x:c r="G1816" s="30" t="str">
        <x:v>standard</x:v>
      </x:c>
      <x:c r="H1816" s="30" t="str">
        <x:v>year-round</x:v>
      </x:c>
      <x:c r="I18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7">
      <x:c r="A1817" s="36" t="str">
        <x:v>caribbean</x:v>
      </x:c>
      <x:c r="B1817" s="30" t="str">
        <x:v>caribbean-broad-draft-1</x:v>
      </x:c>
      <x:c r="C1817" s="30" t="n">
        <x:v>41274</x:v>
      </x:c>
      <x:c r="D1817" s="32" t="str">
        <x:v>Black Bonneted Bat</x:v>
      </x:c>
      <x:c r="E1817" s="32" t="str">
        <x:v>Eumops auripendulus</x:v>
      </x:c>
      <x:c r="F1817" s="30" t="str">
        <x:v>uncommon</x:v>
      </x:c>
      <x:c r="G1817" s="30" t="str">
        <x:v>standard</x:v>
      </x:c>
      <x:c r="H1817" s="30" t="str">
        <x:v>year-round</x:v>
      </x:c>
      <x:c r="I18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8">
      <x:c r="A1818" s="36" t="str">
        <x:v>caribbean</x:v>
      </x:c>
      <x:c r="B1818" s="30" t="str">
        <x:v>caribbean-broad-draft-1</x:v>
      </x:c>
      <x:c r="C1818" s="30" t="n">
        <x:v>1102769</x:v>
      </x:c>
      <x:c r="D1818" s="32" t="str">
        <x:v>Fierce Bonneted Bat</x:v>
      </x:c>
      <x:c r="E1818" s="32" t="str">
        <x:v>Eumops ferox</x:v>
      </x:c>
      <x:c r="F1818" s="30" t="str">
        <x:v>rare</x:v>
      </x:c>
      <x:c r="G1818" s="30" t="str">
        <x:v>standard</x:v>
      </x:c>
      <x:c r="H1818" s="30" t="str">
        <x:v>year-round</x:v>
      </x:c>
      <x:c r="I18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19">
      <x:c r="A1819" s="36" t="str">
        <x:v>caribbean</x:v>
      </x:c>
      <x:c r="B1819" s="30" t="str">
        <x:v>caribbean-broad-draft-1</x:v>
      </x:c>
      <x:c r="C1819" s="30" t="n">
        <x:v>43789</x:v>
      </x:c>
      <x:c r="D1819" s="32" t="str">
        <x:v>Puerto Rican Hutia</x:v>
      </x:c>
      <x:c r="E1819" s="32" t="str">
        <x:v>Isolobodon portoricensis</x:v>
      </x:c>
      <x:c r="F1819" s="30" t="str">
        <x:v>rare</x:v>
      </x:c>
      <x:c r="G1819" s="30" t="str">
        <x:v>standard</x:v>
      </x:c>
      <x:c r="H1819" s="30" t="str">
        <x:v>year-round</x:v>
      </x:c>
      <x:c r="I18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0">
      <x:c r="A1820" s="36" t="str">
        <x:v>caribbean</x:v>
      </x:c>
      <x:c r="B1820" s="30" t="str">
        <x:v>caribbean-broad-draft-1</x:v>
      </x:c>
      <x:c r="C1820" s="30" t="n">
        <x:v>41464</x:v>
      </x:c>
      <x:c r="D1820" s="32" t="str">
        <x:v>Pygmy Sperm Whale</x:v>
      </x:c>
      <x:c r="E1820" s="32" t="str">
        <x:v>Kogia breviceps</x:v>
      </x:c>
      <x:c r="F1820" s="30" t="str">
        <x:v>uncommon</x:v>
      </x:c>
      <x:c r="G1820" s="30" t="str">
        <x:v>standard</x:v>
      </x:c>
      <x:c r="H1820" s="30" t="str">
        <x:v>year-round</x:v>
      </x:c>
      <x:c r="I18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1">
      <x:c r="A1821" s="36" t="str">
        <x:v>caribbean</x:v>
      </x:c>
      <x:c r="B1821" s="30" t="str">
        <x:v>caribbean-broad-draft-1</x:v>
      </x:c>
      <x:c r="C1821" s="30" t="n">
        <x:v>41407</x:v>
      </x:c>
      <x:c r="D1821" s="32" t="str">
        <x:v>Gulf Stream Beaked Whale</x:v>
      </x:c>
      <x:c r="E1821" s="32" t="str">
        <x:v>Mesoplodon europaeus</x:v>
      </x:c>
      <x:c r="F1821" s="30" t="str">
        <x:v>uncommon</x:v>
      </x:c>
      <x:c r="G1821" s="30" t="str">
        <x:v>standard</x:v>
      </x:c>
      <x:c r="H1821" s="30" t="str">
        <x:v>year-round</x:v>
      </x:c>
      <x:c r="I18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2">
      <x:c r="A1822" s="36" t="str">
        <x:v>caribbean</x:v>
      </x:c>
      <x:c r="B1822" s="30" t="str">
        <x:v>caribbean-broad-draft-1</x:v>
      </x:c>
      <x:c r="C1822" s="30" t="n">
        <x:v>1431065</x:v>
      </x:c>
      <x:c r="D1822" s="32" t="str">
        <x:v>Hispaniolan Mastiff Bat</x:v>
      </x:c>
      <x:c r="E1822" s="32" t="str">
        <x:v>Molossus verrilli</x:v>
      </x:c>
      <x:c r="F1822" s="30" t="str">
        <x:v>very_rare</x:v>
      </x:c>
      <x:c r="G1822" s="30" t="str">
        <x:v>standard</x:v>
      </x:c>
      <x:c r="H1822" s="30" t="str">
        <x:v>year-round</x:v>
      </x:c>
      <x:c r="I18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3">
      <x:c r="A1823" s="36" t="str">
        <x:v>caribbean</x:v>
      </x:c>
      <x:c r="B1823" s="30" t="str">
        <x:v>caribbean-broad-draft-1</x:v>
      </x:c>
      <x:c r="C1823" s="30" t="n">
        <x:v>74715</x:v>
      </x:c>
      <x:c r="D1823" s="32" t="str">
        <x:v>Arizona Myotis</x:v>
      </x:c>
      <x:c r="E1823" s="32" t="str">
        <x:v>Myotis occultus</x:v>
      </x:c>
      <x:c r="F1823" s="30" t="str">
        <x:v>rare</x:v>
      </x:c>
      <x:c r="G1823" s="30" t="str">
        <x:v>standard</x:v>
      </x:c>
      <x:c r="H1823" s="30" t="str">
        <x:v>year-round</x:v>
      </x:c>
      <x:c r="I18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4">
      <x:c r="A1824" s="36" t="str">
        <x:v>caribbean</x:v>
      </x:c>
      <x:c r="B1824" s="30" t="str">
        <x:v>caribbean-broad-draft-1</x:v>
      </x:c>
      <x:c r="C1824" s="30" t="n">
        <x:v>40344</x:v>
      </x:c>
      <x:c r="D1824" s="32" t="str">
        <x:v>Long-legged Myotis</x:v>
      </x:c>
      <x:c r="E1824" s="32" t="str">
        <x:v>Myotis volans</x:v>
      </x:c>
      <x:c r="F1824" s="30" t="str">
        <x:v>uncommon</x:v>
      </x:c>
      <x:c r="G1824" s="30" t="str">
        <x:v>standard</x:v>
      </x:c>
      <x:c r="H1824" s="30" t="str">
        <x:v>year-round</x:v>
      </x:c>
      <x:c r="I18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5">
      <x:c r="A1825" s="36" t="str">
        <x:v>caribbean</x:v>
      </x:c>
      <x:c r="B1825" s="30" t="str">
        <x:v>caribbean-broad-draft-1</x:v>
      </x:c>
      <x:c r="C1825" s="30" t="n">
        <x:v>1596124</x:v>
      </x:c>
      <x:c r="D1825" s="32" t="str">
        <x:v>Brazilian Serotine</x:v>
      </x:c>
      <x:c r="E1825" s="32" t="str">
        <x:v>Neoeptesicus brasiliensis</x:v>
      </x:c>
      <x:c r="F1825" s="30" t="str">
        <x:v>very_rare</x:v>
      </x:c>
      <x:c r="G1825" s="30" t="str">
        <x:v>standard</x:v>
      </x:c>
      <x:c r="H1825" s="30" t="str">
        <x:v>year-round</x:v>
      </x:c>
      <x:c r="I18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6">
      <x:c r="A1826" s="36" t="str">
        <x:v>caribbean</x:v>
      </x:c>
      <x:c r="B1826" s="30" t="str">
        <x:v>caribbean-broad-draft-1</x:v>
      </x:c>
      <x:c r="C1826" s="30" t="n">
        <x:v>74795</x:v>
      </x:c>
      <x:c r="D1826" s="32" t="str">
        <x:v>Cuban Evening Bat</x:v>
      </x:c>
      <x:c r="E1826" s="32" t="str">
        <x:v>Nycticeius cubanus</x:v>
      </x:c>
      <x:c r="F1826" s="30" t="str">
        <x:v>rare</x:v>
      </x:c>
      <x:c r="G1826" s="30" t="str">
        <x:v>standard</x:v>
      </x:c>
      <x:c r="H1826" s="30" t="str">
        <x:v>year-round</x:v>
      </x:c>
      <x:c r="I18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7">
      <x:c r="A1827" s="36" t="str">
        <x:v>caribbean</x:v>
      </x:c>
      <x:c r="B1827" s="30" t="str">
        <x:v>caribbean-broad-draft-1</x:v>
      </x:c>
      <x:c r="C1827" s="30" t="n">
        <x:v>41315</x:v>
      </x:c>
      <x:c r="D1827" s="32" t="str">
        <x:v>Big Free-tailed Bat</x:v>
      </x:c>
      <x:c r="E1827" s="32" t="str">
        <x:v>Nyctinomops macrotis</x:v>
      </x:c>
      <x:c r="F1827" s="30" t="str">
        <x:v>uncommon</x:v>
      </x:c>
      <x:c r="G1827" s="30" t="str">
        <x:v>standard</x:v>
      </x:c>
      <x:c r="H1827" s="30" t="str">
        <x:v>year-round</x:v>
      </x:c>
      <x:c r="I18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8">
      <x:c r="A1828" s="36" t="str">
        <x:v>caribbean</x:v>
      </x:c>
      <x:c r="B1828" s="30" t="str">
        <x:v>caribbean-broad-draft-1</x:v>
      </x:c>
      <x:c r="C1828" s="30" t="n">
        <x:v>41521</x:v>
      </x:c>
      <x:c r="D1828" s="32" t="str">
        <x:v>Orca</x:v>
      </x:c>
      <x:c r="E1828" s="32" t="str">
        <x:v>Orcinus orca</x:v>
      </x:c>
      <x:c r="F1828" s="30" t="str">
        <x:v>rare</x:v>
      </x:c>
      <x:c r="G1828" s="30" t="str">
        <x:v>standard</x:v>
      </x:c>
      <x:c r="H1828" s="30" t="str">
        <x:v>year-round</x:v>
      </x:c>
      <x:c r="I18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29">
      <x:c r="A1829" s="36" t="str">
        <x:v>caribbean</x:v>
      </x:c>
      <x:c r="B1829" s="30" t="str">
        <x:v>caribbean-broad-draft-1</x:v>
      </x:c>
      <x:c r="C1829" s="30" t="n">
        <x:v>41543</x:v>
      </x:c>
      <x:c r="D1829" s="32" t="str">
        <x:v>Melon-headed Whale</x:v>
      </x:c>
      <x:c r="E1829" s="32" t="str">
        <x:v>Peponocephala electra</x:v>
      </x:c>
      <x:c r="F1829" s="30" t="str">
        <x:v>rare</x:v>
      </x:c>
      <x:c r="G1829" s="30" t="str">
        <x:v>standard</x:v>
      </x:c>
      <x:c r="H1829" s="30" t="str">
        <x:v>year-round</x:v>
      </x:c>
      <x:c r="I18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0">
      <x:c r="A1830" s="36" t="str">
        <x:v>caribbean</x:v>
      </x:c>
      <x:c r="B1830" s="30" t="str">
        <x:v>caribbean-broad-draft-1</x:v>
      </x:c>
      <x:c r="C1830" s="30" t="n">
        <x:v>41348</x:v>
      </x:c>
      <x:c r="D1830" s="32" t="str">
        <x:v>Lesser Dog-like Bat</x:v>
      </x:c>
      <x:c r="E1830" s="32" t="str">
        <x:v>Peropteryx macrotis</x:v>
      </x:c>
      <x:c r="F1830" s="30" t="str">
        <x:v>uncommon</x:v>
      </x:c>
      <x:c r="G1830" s="30" t="str">
        <x:v>standard</x:v>
      </x:c>
      <x:c r="H1830" s="30" t="str">
        <x:v>year-round</x:v>
      </x:c>
      <x:c r="I18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1">
      <x:c r="A1831" s="36" t="str">
        <x:v>caribbean</x:v>
      </x:c>
      <x:c r="B1831" s="30" t="str">
        <x:v>caribbean-broad-draft-1</x:v>
      </x:c>
      <x:c r="C1831" s="30" t="n">
        <x:v>41218</x:v>
      </x:c>
      <x:c r="D1831" s="32" t="str">
        <x:v>MacLeay's moustached bat</x:v>
      </x:c>
      <x:c r="E1831" s="32" t="str">
        <x:v>Pteronotus macleayii</x:v>
      </x:c>
      <x:c r="F1831" s="30" t="str">
        <x:v>uncommon</x:v>
      </x:c>
      <x:c r="G1831" s="30" t="str">
        <x:v>standard</x:v>
      </x:c>
      <x:c r="H1831" s="30" t="str">
        <x:v>year-round</x:v>
      </x:c>
      <x:c r="I18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2">
      <x:c r="A1832" s="36" t="str">
        <x:v>caribbean</x:v>
      </x:c>
      <x:c r="B1832" s="30" t="str">
        <x:v>caribbean-broad-draft-1</x:v>
      </x:c>
      <x:c r="C1832" s="30" t="n">
        <x:v>43428</x:v>
      </x:c>
      <x:c r="D1832" s="32" t="str">
        <x:v>Common Squirrel Monkey</x:v>
      </x:c>
      <x:c r="E1832" s="32" t="str">
        <x:v>Saimiri sciureus</x:v>
      </x:c>
      <x:c r="F1832" s="30" t="str">
        <x:v>rare</x:v>
      </x:c>
      <x:c r="G1832" s="30" t="str">
        <x:v>standard</x:v>
      </x:c>
      <x:c r="H1832" s="30" t="str">
        <x:v>year-round</x:v>
      </x:c>
      <x:c r="I18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3">
      <x:c r="A1833" s="36" t="str">
        <x:v>caribbean</x:v>
      </x:c>
      <x:c r="B1833" s="30" t="str">
        <x:v>caribbean-broad-draft-1</x:v>
      </x:c>
      <x:c r="C1833" s="30" t="n">
        <x:v>9609</x:v>
      </x:c>
      <x:c r="D1833" s="32" t="str">
        <x:v>Greater Antillean Grackle</x:v>
      </x:c>
      <x:c r="E1833" s="32" t="str">
        <x:v>Quiscalus niger</x:v>
      </x:c>
      <x:c r="F1833" s="30" t="str">
        <x:v>common</x:v>
      </x:c>
      <x:c r="G1833" s="30" t="str">
        <x:v>standard</x:v>
      </x:c>
      <x:c r="H1833" s="30" t="str">
        <x:v>year-round</x:v>
      </x:c>
      <x:c r="I18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4">
      <x:c r="A1834" s="36" t="str">
        <x:v>caribbean</x:v>
      </x:c>
      <x:c r="B1834" s="30" t="str">
        <x:v>caribbean-broad-draft-1</x:v>
      </x:c>
      <x:c r="C1834" s="30" t="n">
        <x:v>16798</x:v>
      </x:c>
      <x:c r="D1834" s="32" t="str">
        <x:v>Gray Kingbird</x:v>
      </x:c>
      <x:c r="E1834" s="32" t="str">
        <x:v>Tyrannus dominicensis</x:v>
      </x:c>
      <x:c r="F1834" s="30" t="str">
        <x:v>common</x:v>
      </x:c>
      <x:c r="G1834" s="30" t="str">
        <x:v>standard</x:v>
      </x:c>
      <x:c r="H1834" s="30" t="str">
        <x:v>year-round</x:v>
      </x:c>
      <x:c r="I18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5">
      <x:c r="A1835" s="36" t="str">
        <x:v>caribbean</x:v>
      </x:c>
      <x:c r="B1835" s="30" t="str">
        <x:v>caribbean-broad-draft-1</x:v>
      </x:c>
      <x:c r="C1835" s="30" t="n">
        <x:v>3465</x:v>
      </x:c>
      <x:c r="D1835" s="32" t="str">
        <x:v>Zenaida Dove</x:v>
      </x:c>
      <x:c r="E1835" s="32" t="str">
        <x:v>Zenaida aurita</x:v>
      </x:c>
      <x:c r="F1835" s="30" t="str">
        <x:v>common</x:v>
      </x:c>
      <x:c r="G1835" s="30" t="str">
        <x:v>standard</x:v>
      </x:c>
      <x:c r="H1835" s="30" t="str">
        <x:v>year-round</x:v>
      </x:c>
      <x:c r="I18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6">
      <x:c r="A1836" s="36" t="str">
        <x:v>caribbean</x:v>
      </x:c>
      <x:c r="B1836" s="30" t="str">
        <x:v>caribbean-broad-draft-1</x:v>
      </x:c>
      <x:c r="C1836" s="30" t="n">
        <x:v>4328</x:v>
      </x:c>
      <x:c r="D1836" s="32" t="str">
        <x:v>Brown Pelican</x:v>
      </x:c>
      <x:c r="E1836" s="32" t="str">
        <x:v>Pelecanus occidentalis</x:v>
      </x:c>
      <x:c r="F1836" s="30" t="str">
        <x:v>common</x:v>
      </x:c>
      <x:c r="G1836" s="30" t="str">
        <x:v>standard</x:v>
      </x:c>
      <x:c r="H1836" s="30" t="str">
        <x:v>year-round</x:v>
      </x:c>
      <x:c r="I1836" s="37" t="str">
        <x:v>Owner-managed caribbean essential checklist; imported from caribbean_checklists.csv. Encounter rarity and prestige are curated game metadata. Automated rarity: inaturalist-regional-frequency-v1.</x:v>
      </x:c>
    </x:row>
    <x:row r="1837">
      <x:c r="A1837" s="36" t="str">
        <x:v>caribbean</x:v>
      </x:c>
      <x:c r="B1837" s="30" t="str">
        <x:v>caribbean-broad-draft-1</x:v>
      </x:c>
      <x:c r="C1837" s="30" t="n">
        <x:v>10199</x:v>
      </x:c>
      <x:c r="D1837" s="32" t="str">
        <x:v>Bananaquit</x:v>
      </x:c>
      <x:c r="E1837" s="32" t="str">
        <x:v>Coereba flaveola</x:v>
      </x:c>
      <x:c r="F1837" s="30" t="str">
        <x:v>common</x:v>
      </x:c>
      <x:c r="G1837" s="30" t="str">
        <x:v>standard</x:v>
      </x:c>
      <x:c r="H1837" s="30" t="str">
        <x:v>year-round</x:v>
      </x:c>
      <x:c r="I18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8">
      <x:c r="A1838" s="36" t="str">
        <x:v>caribbean</x:v>
      </x:c>
      <x:c r="B1838" s="30" t="str">
        <x:v>caribbean-broad-draft-1</x:v>
      </x:c>
      <x:c r="C1838" s="30" t="n">
        <x:v>14984</x:v>
      </x:c>
      <x:c r="D1838" s="32" t="str">
        <x:v>Pearly-eyed Thrasher</x:v>
      </x:c>
      <x:c r="E1838" s="32" t="str">
        <x:v>Margarops fuscatus</x:v>
      </x:c>
      <x:c r="F1838" s="30" t="str">
        <x:v>common</x:v>
      </x:c>
      <x:c r="G1838" s="30" t="str">
        <x:v>standard</x:v>
      </x:c>
      <x:c r="H1838" s="30" t="str">
        <x:v>year-round</x:v>
      </x:c>
      <x:c r="I18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39">
      <x:c r="A1839" s="36" t="str">
        <x:v>caribbean</x:v>
      </x:c>
      <x:c r="B1839" s="30" t="str">
        <x:v>caribbean-broad-draft-1</x:v>
      </x:c>
      <x:c r="C1839" s="30" t="n">
        <x:v>14886</x:v>
      </x:c>
      <x:c r="D1839" s="32" t="str">
        <x:v>Northern Mockingbird</x:v>
      </x:c>
      <x:c r="E1839" s="32" t="str">
        <x:v>Mimus polyglottos</x:v>
      </x:c>
      <x:c r="F1839" s="30" t="str">
        <x:v>common</x:v>
      </x:c>
      <x:c r="G1839" s="30" t="str">
        <x:v>standard</x:v>
      </x:c>
      <x:c r="H1839" s="30" t="str">
        <x:v>year-round</x:v>
      </x:c>
      <x:c r="I18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0">
      <x:c r="A1840" s="36" t="str">
        <x:v>caribbean</x:v>
      </x:c>
      <x:c r="B1840" s="30" t="str">
        <x:v>caribbean-broad-draft-1</x:v>
      </x:c>
      <x:c r="C1840" s="30" t="n">
        <x:v>144455</x:v>
      </x:c>
      <x:c r="D1840" s="32" t="str">
        <x:v>Great Egret</x:v>
      </x:c>
      <x:c r="E1840" s="32" t="str">
        <x:v>Ardea alba</x:v>
      </x:c>
      <x:c r="F1840" s="30" t="str">
        <x:v>common</x:v>
      </x:c>
      <x:c r="G1840" s="30" t="str">
        <x:v>standard</x:v>
      </x:c>
      <x:c r="H1840" s="30" t="str">
        <x:v>year-round</x:v>
      </x:c>
      <x:c r="I18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1">
      <x:c r="A1841" s="36" t="str">
        <x:v>caribbean</x:v>
      </x:c>
      <x:c r="B1841" s="30" t="str">
        <x:v>caribbean-broad-draft-1</x:v>
      </x:c>
      <x:c r="C1841" s="30" t="n">
        <x:v>5020</x:v>
      </x:c>
      <x:c r="D1841" s="32" t="str">
        <x:v>Green Heron</x:v>
      </x:c>
      <x:c r="E1841" s="32" t="str">
        <x:v>Butorides virescens</x:v>
      </x:c>
      <x:c r="F1841" s="30" t="str">
        <x:v>common</x:v>
      </x:c>
      <x:c r="G1841" s="30" t="str">
        <x:v>standard</x:v>
      </x:c>
      <x:c r="H1841" s="30" t="str">
        <x:v>year-round</x:v>
      </x:c>
      <x:c r="I18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2">
      <x:c r="A1842" s="36" t="str">
        <x:v>caribbean</x:v>
      </x:c>
      <x:c r="B1842" s="30" t="str">
        <x:v>caribbean-broad-draft-1</x:v>
      </x:c>
      <x:c r="C1842" s="30" t="n">
        <x:v>4631</x:v>
      </x:c>
      <x:c r="D1842" s="32" t="str">
        <x:v>Magnificent Frigatebird</x:v>
      </x:c>
      <x:c r="E1842" s="32" t="str">
        <x:v>Fregata magnificens</x:v>
      </x:c>
      <x:c r="F1842" s="30" t="str">
        <x:v>common</x:v>
      </x:c>
      <x:c r="G1842" s="30" t="str">
        <x:v>standard</x:v>
      </x:c>
      <x:c r="H1842" s="30" t="str">
        <x:v>year-round</x:v>
      </x:c>
      <x:c r="I1842" s="37" t="str">
        <x:v>Owner-managed caribbean essential checklist; imported from caribbean_checklists.csv. Encounter rarity and prestige are curated game metadata. Automated rarity: inaturalist-regional-frequency-v1.</x:v>
      </x:c>
    </x:row>
    <x:row r="1843">
      <x:c r="A1843" s="36" t="str">
        <x:v>caribbean</x:v>
      </x:c>
      <x:c r="B1843" s="30" t="str">
        <x:v>caribbean-broad-draft-1</x:v>
      </x:c>
      <x:c r="C1843" s="30" t="n">
        <x:v>144514</x:v>
      </x:c>
      <x:c r="D1843" s="32" t="str">
        <x:v>Laughing Gull</x:v>
      </x:c>
      <x:c r="E1843" s="32" t="str">
        <x:v>Leucophaeus atricilla</x:v>
      </x:c>
      <x:c r="F1843" s="30" t="str">
        <x:v>common</x:v>
      </x:c>
      <x:c r="G1843" s="30" t="str">
        <x:v>standard</x:v>
      </x:c>
      <x:c r="H1843" s="30" t="str">
        <x:v>year-round</x:v>
      </x:c>
      <x:c r="I18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4">
      <x:c r="A1844" s="36" t="str">
        <x:v>caribbean</x:v>
      </x:c>
      <x:c r="B1844" s="30" t="str">
        <x:v>caribbean-broad-draft-1</x:v>
      </x:c>
      <x:c r="C1844" s="30" t="n">
        <x:v>411086</x:v>
      </x:c>
      <x:c r="D1844" s="32" t="str">
        <x:v>Western Cattle-Egret</x:v>
      </x:c>
      <x:c r="E1844" s="32" t="str">
        <x:v>Ardea ibis</x:v>
      </x:c>
      <x:c r="F1844" s="30" t="str">
        <x:v>common</x:v>
      </x:c>
      <x:c r="G1844" s="30" t="str">
        <x:v>standard</x:v>
      </x:c>
      <x:c r="H1844" s="30" t="str">
        <x:v>year-round</x:v>
      </x:c>
      <x:c r="I18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5">
      <x:c r="A1845" s="36" t="str">
        <x:v>caribbean</x:v>
      </x:c>
      <x:c r="B1845" s="30" t="str">
        <x:v>caribbean-broad-draft-1</x:v>
      </x:c>
      <x:c r="C1845" s="30" t="n">
        <x:v>4999</x:v>
      </x:c>
      <x:c r="D1845" s="32" t="str">
        <x:v>Yellow-crowned Night Heron</x:v>
      </x:c>
      <x:c r="E1845" s="32" t="str">
        <x:v>Nyctanassa violacea</x:v>
      </x:c>
      <x:c r="F1845" s="30" t="str">
        <x:v>common</x:v>
      </x:c>
      <x:c r="G1845" s="30" t="str">
        <x:v>standard</x:v>
      </x:c>
      <x:c r="H1845" s="30" t="str">
        <x:v>year-round</x:v>
      </x:c>
      <x:c r="I18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6">
      <x:c r="A1846" s="36" t="str">
        <x:v>caribbean</x:v>
      </x:c>
      <x:c r="B1846" s="30" t="str">
        <x:v>caribbean-broad-draft-1</x:v>
      </x:c>
      <x:c r="C1846" s="30" t="n">
        <x:v>4665</x:v>
      </x:c>
      <x:c r="D1846" s="32" t="str">
        <x:v>American Kestrel</x:v>
      </x:c>
      <x:c r="E1846" s="32" t="str">
        <x:v>Falco sparverius</x:v>
      </x:c>
      <x:c r="F1846" s="30" t="str">
        <x:v>common</x:v>
      </x:c>
      <x:c r="G1846" s="30" t="str">
        <x:v>standard</x:v>
      </x:c>
      <x:c r="H1846" s="30" t="str">
        <x:v>year-round</x:v>
      </x:c>
      <x:c r="I18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7">
      <x:c r="A1847" s="36" t="str">
        <x:v>caribbean</x:v>
      </x:c>
      <x:c r="B1847" s="30" t="str">
        <x:v>caribbean-broad-draft-1</x:v>
      </x:c>
      <x:c r="C1847" s="30" t="n">
        <x:v>144539</x:v>
      </x:c>
      <x:c r="D1847" s="32" t="str">
        <x:v>Royal Tern</x:v>
      </x:c>
      <x:c r="E1847" s="32" t="str">
        <x:v>Thalasseus maximus</x:v>
      </x:c>
      <x:c r="F1847" s="30" t="str">
        <x:v>common</x:v>
      </x:c>
      <x:c r="G1847" s="30" t="str">
        <x:v>standard</x:v>
      </x:c>
      <x:c r="H1847" s="30" t="str">
        <x:v>year-round</x:v>
      </x:c>
      <x:c r="I18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8">
      <x:c r="A1848" s="36" t="str">
        <x:v>caribbean</x:v>
      </x:c>
      <x:c r="B1848" s="30" t="str">
        <x:v>caribbean-broad-draft-1</x:v>
      </x:c>
      <x:c r="C1848" s="30" t="n">
        <x:v>2969</x:v>
      </x:c>
      <x:c r="D1848" s="32" t="str">
        <x:v>Eurasian Collared-Dove</x:v>
      </x:c>
      <x:c r="E1848" s="32" t="str">
        <x:v>Streptopelia decaocto</x:v>
      </x:c>
      <x:c r="F1848" s="30" t="str">
        <x:v>common</x:v>
      </x:c>
      <x:c r="G1848" s="30" t="str">
        <x:v>standard</x:v>
      </x:c>
      <x:c r="H1848" s="30" t="str">
        <x:v>year-round</x:v>
      </x:c>
      <x:c r="I18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49">
      <x:c r="A1849" s="36" t="str">
        <x:v>caribbean</x:v>
      </x:c>
      <x:c r="B1849" s="30" t="str">
        <x:v>caribbean-broad-draft-1</x:v>
      </x:c>
      <x:c r="C1849" s="30" t="n">
        <x:v>979800</x:v>
      </x:c>
      <x:c r="D1849" s="32" t="str">
        <x:v>Black-faced Grassquit</x:v>
      </x:c>
      <x:c r="E1849" s="32" t="str">
        <x:v>Melanospiza bicolor</x:v>
      </x:c>
      <x:c r="F1849" s="30" t="str">
        <x:v>common</x:v>
      </x:c>
      <x:c r="G1849" s="30" t="str">
        <x:v>standard</x:v>
      </x:c>
      <x:c r="H1849" s="30" t="str">
        <x:v>year-round</x:v>
      </x:c>
      <x:c r="I18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0">
      <x:c r="A1850" s="36" t="str">
        <x:v>caribbean</x:v>
      </x:c>
      <x:c r="B1850" s="30" t="str">
        <x:v>caribbean-broad-draft-1</x:v>
      </x:c>
      <x:c r="C1850" s="30" t="n">
        <x:v>144479</x:v>
      </x:c>
      <x:c r="D1850" s="32" t="str">
        <x:v>Common Gallinule</x:v>
      </x:c>
      <x:c r="E1850" s="32" t="str">
        <x:v>Gallinula galeata</x:v>
      </x:c>
      <x:c r="F1850" s="30" t="str">
        <x:v>common</x:v>
      </x:c>
      <x:c r="G1850" s="30" t="str">
        <x:v>standard</x:v>
      </x:c>
      <x:c r="H1850" s="30" t="str">
        <x:v>year-round</x:v>
      </x:c>
      <x:c r="I18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1">
      <x:c r="A1851" s="36" t="str">
        <x:v>caribbean</x:v>
      </x:c>
      <x:c r="B1851" s="30" t="str">
        <x:v>caribbean-broad-draft-1</x:v>
      </x:c>
      <x:c r="C1851" s="30" t="n">
        <x:v>3545</x:v>
      </x:c>
      <x:c r="D1851" s="32" t="str">
        <x:v>Common Ground Dove</x:v>
      </x:c>
      <x:c r="E1851" s="32" t="str">
        <x:v>Columbina passerina</x:v>
      </x:c>
      <x:c r="F1851" s="30" t="str">
        <x:v>common</x:v>
      </x:c>
      <x:c r="G1851" s="30" t="str">
        <x:v>standard</x:v>
      </x:c>
      <x:c r="H1851" s="30" t="str">
        <x:v>year-round</x:v>
      </x:c>
      <x:c r="I18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2">
      <x:c r="A1852" s="36" t="str">
        <x:v>caribbean</x:v>
      </x:c>
      <x:c r="B1852" s="30" t="str">
        <x:v>caribbean-broad-draft-1</x:v>
      </x:c>
      <x:c r="C1852" s="30" t="n">
        <x:v>1971</x:v>
      </x:c>
      <x:c r="D1852" s="32" t="str">
        <x:v>Smooth-billed Ani</x:v>
      </x:c>
      <x:c r="E1852" s="32" t="str">
        <x:v>Crotophaga ani</x:v>
      </x:c>
      <x:c r="F1852" s="30" t="str">
        <x:v>common</x:v>
      </x:c>
      <x:c r="G1852" s="30" t="str">
        <x:v>standard</x:v>
      </x:c>
      <x:c r="H1852" s="30" t="str">
        <x:v>year-round</x:v>
      </x:c>
      <x:c r="I18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3">
      <x:c r="A1853" s="36" t="str">
        <x:v>caribbean</x:v>
      </x:c>
      <x:c r="B1853" s="30" t="str">
        <x:v>caribbean-broad-draft-1</x:v>
      </x:c>
      <x:c r="C1853" s="30" t="n">
        <x:v>3460</x:v>
      </x:c>
      <x:c r="D1853" s="32" t="str">
        <x:v>White-winged Dove</x:v>
      </x:c>
      <x:c r="E1853" s="32" t="str">
        <x:v>Zenaida asiatica</x:v>
      </x:c>
      <x:c r="F1853" s="30" t="str">
        <x:v>common</x:v>
      </x:c>
      <x:c r="G1853" s="30" t="str">
        <x:v>standard</x:v>
      </x:c>
      <x:c r="H1853" s="30" t="str">
        <x:v>year-round</x:v>
      </x:c>
      <x:c r="I18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4">
      <x:c r="A1854" s="36" t="str">
        <x:v>caribbean</x:v>
      </x:c>
      <x:c r="B1854" s="30" t="str">
        <x:v>caribbean-broad-draft-1</x:v>
      </x:c>
      <x:c r="C1854" s="30" t="n">
        <x:v>4756</x:v>
      </x:c>
      <x:c r="D1854" s="32" t="str">
        <x:v>Turkey Vulture</x:v>
      </x:c>
      <x:c r="E1854" s="32" t="str">
        <x:v>Cathartes aura</x:v>
      </x:c>
      <x:c r="F1854" s="30" t="str">
        <x:v>common</x:v>
      </x:c>
      <x:c r="G1854" s="30" t="str">
        <x:v>standard</x:v>
      </x:c>
      <x:c r="H1854" s="30" t="str">
        <x:v>year-round</x:v>
      </x:c>
      <x:c r="I18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5">
      <x:c r="A1855" s="36" t="str">
        <x:v>caribbean</x:v>
      </x:c>
      <x:c r="B1855" s="30" t="str">
        <x:v>caribbean-broad-draft-1</x:v>
      </x:c>
      <x:c r="C1855" s="30" t="n">
        <x:v>3938</x:v>
      </x:c>
      <x:c r="D1855" s="32" t="str">
        <x:v>Ruddy Turnstone</x:v>
      </x:c>
      <x:c r="E1855" s="32" t="str">
        <x:v>Arenaria interpres</x:v>
      </x:c>
      <x:c r="F1855" s="30" t="str">
        <x:v>common</x:v>
      </x:c>
      <x:c r="G1855" s="30" t="str">
        <x:v>standard</x:v>
      </x:c>
      <x:c r="H1855" s="30" t="str">
        <x:v>year-round</x:v>
      </x:c>
      <x:c r="I18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6">
      <x:c r="A1856" s="36" t="str">
        <x:v>caribbean</x:v>
      </x:c>
      <x:c r="B1856" s="30" t="str">
        <x:v>caribbean-broad-draft-1</x:v>
      </x:c>
      <x:c r="C1856" s="30" t="n">
        <x:v>13858</x:v>
      </x:c>
      <x:c r="D1856" s="32" t="str">
        <x:v>House Sparrow</x:v>
      </x:c>
      <x:c r="E1856" s="32" t="str">
        <x:v>Passer domesticus</x:v>
      </x:c>
      <x:c r="F1856" s="30" t="str">
        <x:v>common</x:v>
      </x:c>
      <x:c r="G1856" s="30" t="str">
        <x:v>standard</x:v>
      </x:c>
      <x:c r="H1856" s="30" t="str">
        <x:v>year-round</x:v>
      </x:c>
      <x:c r="I18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7">
      <x:c r="A1857" s="36" t="str">
        <x:v>caribbean</x:v>
      </x:c>
      <x:c r="B1857" s="30" t="str">
        <x:v>caribbean-broad-draft-1</x:v>
      </x:c>
      <x:c r="C1857" s="30" t="n">
        <x:v>4937</x:v>
      </x:c>
      <x:c r="D1857" s="32" t="str">
        <x:v>Little Blue Heron</x:v>
      </x:c>
      <x:c r="E1857" s="32" t="str">
        <x:v>Egretta caerulea</x:v>
      </x:c>
      <x:c r="F1857" s="30" t="str">
        <x:v>common</x:v>
      </x:c>
      <x:c r="G1857" s="30" t="str">
        <x:v>standard</x:v>
      </x:c>
      <x:c r="H1857" s="30" t="str">
        <x:v>year-round</x:v>
      </x:c>
      <x:c r="I18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8">
      <x:c r="A1858" s="36" t="str">
        <x:v>caribbean</x:v>
      </x:c>
      <x:c r="B1858" s="30" t="str">
        <x:v>caribbean-broad-draft-1</x:v>
      </x:c>
      <x:c r="C1858" s="30" t="n">
        <x:v>18180</x:v>
      </x:c>
      <x:c r="D1858" s="32" t="str">
        <x:v>Hispaniolan Woodpecker</x:v>
      </x:c>
      <x:c r="E1858" s="32" t="str">
        <x:v>Melanerpes striatus</x:v>
      </x:c>
      <x:c r="F1858" s="30" t="str">
        <x:v>common</x:v>
      </x:c>
      <x:c r="G1858" s="30" t="str">
        <x:v>standard</x:v>
      </x:c>
      <x:c r="H1858" s="30" t="str">
        <x:v>year-round</x:v>
      </x:c>
      <x:c r="I18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59">
      <x:c r="A1859" s="36" t="str">
        <x:v>caribbean</x:v>
      </x:c>
      <x:c r="B1859" s="30" t="str">
        <x:v>caribbean-broad-draft-1</x:v>
      </x:c>
      <x:c r="C1859" s="30" t="n">
        <x:v>16771</x:v>
      </x:c>
      <x:c r="D1859" s="32" t="str">
        <x:v>Loggerhead Kingbird</x:v>
      </x:c>
      <x:c r="E1859" s="32" t="str">
        <x:v>Tyrannus caudifasciatus</x:v>
      </x:c>
      <x:c r="F1859" s="30" t="str">
        <x:v>common</x:v>
      </x:c>
      <x:c r="G1859" s="30" t="str">
        <x:v>standard</x:v>
      </x:c>
      <x:c r="H1859" s="30" t="str">
        <x:v>year-round</x:v>
      </x:c>
      <x:c r="I18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0">
      <x:c r="A1860" s="36" t="str">
        <x:v>caribbean</x:v>
      </x:c>
      <x:c r="B1860" s="30" t="str">
        <x:v>caribbean-broad-draft-1</x:v>
      </x:c>
      <x:c r="C1860" s="30" t="n">
        <x:v>7434</x:v>
      </x:c>
      <x:c r="D1860" s="32" t="str">
        <x:v>Palmchat</x:v>
      </x:c>
      <x:c r="E1860" s="32" t="str">
        <x:v>Dulus dominicus</x:v>
      </x:c>
      <x:c r="F1860" s="30" t="str">
        <x:v>common</x:v>
      </x:c>
      <x:c r="G1860" s="30" t="str">
        <x:v>standard</x:v>
      </x:c>
      <x:c r="H1860" s="30" t="str">
        <x:v>year-round</x:v>
      </x:c>
      <x:c r="I18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1">
      <x:c r="A1861" s="36" t="str">
        <x:v>caribbean</x:v>
      </x:c>
      <x:c r="B1861" s="30" t="str">
        <x:v>caribbean-broad-draft-1</x:v>
      </x:c>
      <x:c r="C1861" s="30" t="n">
        <x:v>3080</x:v>
      </x:c>
      <x:c r="D1861" s="32" t="str">
        <x:v>Scaly-naped Pigeon</x:v>
      </x:c>
      <x:c r="E1861" s="32" t="str">
        <x:v>Patagioenas squamosa</x:v>
      </x:c>
      <x:c r="F1861" s="30" t="str">
        <x:v>common</x:v>
      </x:c>
      <x:c r="G1861" s="30" t="str">
        <x:v>standard</x:v>
      </x:c>
      <x:c r="H1861" s="30" t="str">
        <x:v>year-round</x:v>
      </x:c>
      <x:c r="I18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2">
      <x:c r="A1862" s="36" t="str">
        <x:v>caribbean</x:v>
      </x:c>
      <x:c r="B1862" s="30" t="str">
        <x:v>caribbean-broad-draft-1</x:v>
      </x:c>
      <x:c r="C1862" s="30" t="n">
        <x:v>145242</x:v>
      </x:c>
      <x:c r="D1862" s="32" t="str">
        <x:v>Palm Warbler</x:v>
      </x:c>
      <x:c r="E1862" s="32" t="str">
        <x:v>Setophaga palmarum</x:v>
      </x:c>
      <x:c r="F1862" s="30" t="str">
        <x:v>common</x:v>
      </x:c>
      <x:c r="G1862" s="30" t="str">
        <x:v>standard</x:v>
      </x:c>
      <x:c r="H1862" s="30" t="str">
        <x:v>year-round</x:v>
      </x:c>
      <x:c r="I18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3">
      <x:c r="A1863" s="36" t="str">
        <x:v>caribbean</x:v>
      </x:c>
      <x:c r="B1863" s="30" t="str">
        <x:v>caribbean-broad-draft-1</x:v>
      </x:c>
      <x:c r="C1863" s="30" t="n">
        <x:v>4836</x:v>
      </x:c>
      <x:c r="D1863" s="32" t="str">
        <x:v>Black-necked Stilt</x:v>
      </x:c>
      <x:c r="E1863" s="32" t="str">
        <x:v>Himantopus mexicanus</x:v>
      </x:c>
      <x:c r="F1863" s="30" t="str">
        <x:v>common</x:v>
      </x:c>
      <x:c r="G1863" s="30" t="str">
        <x:v>standard</x:v>
      </x:c>
      <x:c r="H1863" s="30" t="str">
        <x:v>year-round</x:v>
      </x:c>
      <x:c r="I18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4">
      <x:c r="A1864" s="36" t="str">
        <x:v>caribbean</x:v>
      </x:c>
      <x:c r="B1864" s="30" t="str">
        <x:v>caribbean-broad-draft-1</x:v>
      </x:c>
      <x:c r="C1864" s="30" t="n">
        <x:v>9600</x:v>
      </x:c>
      <x:c r="D1864" s="32" t="str">
        <x:v>Carib Grackle</x:v>
      </x:c>
      <x:c r="E1864" s="32" t="str">
        <x:v>Quiscalus lugubris</x:v>
      </x:c>
      <x:c r="F1864" s="30" t="str">
        <x:v>common</x:v>
      </x:c>
      <x:c r="G1864" s="30" t="str">
        <x:v>standard</x:v>
      </x:c>
      <x:c r="H1864" s="30" t="str">
        <x:v>year-round</x:v>
      </x:c>
      <x:c r="I18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5">
      <x:c r="A1865" s="36" t="str">
        <x:v>caribbean</x:v>
      </x:c>
      <x:c r="B1865" s="30" t="str">
        <x:v>caribbean-broad-draft-1</x:v>
      </x:c>
      <x:c r="C1865" s="30" t="n">
        <x:v>10019</x:v>
      </x:c>
      <x:c r="D1865" s="32" t="str">
        <x:v>Lesser Antillean Bullfinch</x:v>
      </x:c>
      <x:c r="E1865" s="32" t="str">
        <x:v>Loxigilla noctis</x:v>
      </x:c>
      <x:c r="F1865" s="30" t="str">
        <x:v>common</x:v>
      </x:c>
      <x:c r="G1865" s="30" t="str">
        <x:v>standard</x:v>
      </x:c>
      <x:c r="H1865" s="30" t="str">
        <x:v>year-round</x:v>
      </x:c>
      <x:c r="I18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6">
      <x:c r="A1866" s="36" t="str">
        <x:v>caribbean</x:v>
      </x:c>
      <x:c r="B1866" s="30" t="str">
        <x:v>caribbean-broad-draft-1</x:v>
      </x:c>
      <x:c r="C1866" s="30" t="n">
        <x:v>3093</x:v>
      </x:c>
      <x:c r="D1866" s="32" t="str">
        <x:v>White-crowned Pigeon</x:v>
      </x:c>
      <x:c r="E1866" s="32" t="str">
        <x:v>Patagioenas leucocephala</x:v>
      </x:c>
      <x:c r="F1866" s="30" t="str">
        <x:v>common</x:v>
      </x:c>
      <x:c r="G1866" s="30" t="str">
        <x:v>standard</x:v>
      </x:c>
      <x:c r="H1866" s="30" t="str">
        <x:v>year-round</x:v>
      </x:c>
      <x:c r="I18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7">
      <x:c r="A1867" s="36" t="str">
        <x:v>caribbean</x:v>
      </x:c>
      <x:c r="B1867" s="30" t="str">
        <x:v>caribbean-broad-draft-1</x:v>
      </x:c>
      <x:c r="C1867" s="30" t="n">
        <x:v>1650089</x:v>
      </x:c>
      <x:c r="D1867" s="32" t="str">
        <x:v>Eastern Red-legged Thrush</x:v>
      </x:c>
      <x:c r="E1867" s="32" t="str">
        <x:v>Turdus ardosiaceus</x:v>
      </x:c>
      <x:c r="F1867" s="30" t="str">
        <x:v>common</x:v>
      </x:c>
      <x:c r="G1867" s="30" t="str">
        <x:v>standard</x:v>
      </x:c>
      <x:c r="H1867" s="30" t="str">
        <x:v>year-round</x:v>
      </x:c>
      <x:c r="I18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8">
      <x:c r="A1868" s="36" t="str">
        <x:v>caribbean</x:v>
      </x:c>
      <x:c r="B1868" s="30" t="str">
        <x:v>caribbean-broad-draft-1</x:v>
      </x:c>
      <x:c r="C1868" s="30" t="n">
        <x:v>72458</x:v>
      </x:c>
      <x:c r="D1868" s="32" t="str">
        <x:v>Spotted Sandpiper</x:v>
      </x:c>
      <x:c r="E1868" s="32" t="str">
        <x:v>Actitis macularius</x:v>
      </x:c>
      <x:c r="F1868" s="30" t="str">
        <x:v>common</x:v>
      </x:c>
      <x:c r="G1868" s="30" t="str">
        <x:v>standard</x:v>
      </x:c>
      <x:c r="H1868" s="30" t="str">
        <x:v>year-round</x:v>
      </x:c>
      <x:c r="I18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69">
      <x:c r="A1869" s="36" t="str">
        <x:v>caribbean</x:v>
      </x:c>
      <x:c r="B1869" s="30" t="str">
        <x:v>caribbean-broad-draft-1</x:v>
      </x:c>
      <x:c r="C1869" s="30" t="n">
        <x:v>18182</x:v>
      </x:c>
      <x:c r="D1869" s="32" t="str">
        <x:v>Puerto Rican Woodpecker</x:v>
      </x:c>
      <x:c r="E1869" s="32" t="str">
        <x:v>Melanerpes portoricensis</x:v>
      </x:c>
      <x:c r="F1869" s="30" t="str">
        <x:v>common</x:v>
      </x:c>
      <x:c r="G1869" s="30" t="str">
        <x:v>standard</x:v>
      </x:c>
      <x:c r="H1869" s="30" t="str">
        <x:v>year-round</x:v>
      </x:c>
      <x:c r="I18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0">
      <x:c r="A1870" s="36" t="str">
        <x:v>caribbean</x:v>
      </x:c>
      <x:c r="B1870" s="30" t="str">
        <x:v>caribbean-broad-draft-1</x:v>
      </x:c>
      <x:c r="C1870" s="30" t="n">
        <x:v>4940</x:v>
      </x:c>
      <x:c r="D1870" s="32" t="str">
        <x:v>Snowy Egret</x:v>
      </x:c>
      <x:c r="E1870" s="32" t="str">
        <x:v>Egretta thula</x:v>
      </x:c>
      <x:c r="F1870" s="30" t="str">
        <x:v>common</x:v>
      </x:c>
      <x:c r="G1870" s="30" t="str">
        <x:v>standard</x:v>
      </x:c>
      <x:c r="H1870" s="30" t="str">
        <x:v>year-round</x:v>
      </x:c>
      <x:c r="I18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1">
      <x:c r="A1871" s="36" t="str">
        <x:v>caribbean</x:v>
      </x:c>
      <x:c r="B1871" s="30" t="str">
        <x:v>caribbean-broad-draft-1</x:v>
      </x:c>
      <x:c r="C1871" s="30" t="n">
        <x:v>2121</x:v>
      </x:c>
      <x:c r="D1871" s="32" t="str">
        <x:v>Puerto Rican Tody</x:v>
      </x:c>
      <x:c r="E1871" s="32" t="str">
        <x:v>Todus mexicanus</x:v>
      </x:c>
      <x:c r="F1871" s="30" t="str">
        <x:v>common</x:v>
      </x:c>
      <x:c r="G1871" s="30" t="str">
        <x:v>standard</x:v>
      </x:c>
      <x:c r="H1871" s="30" t="str">
        <x:v>year-round</x:v>
      </x:c>
      <x:c r="I18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2">
      <x:c r="A1872" s="36" t="str">
        <x:v>caribbean</x:v>
      </x:c>
      <x:c r="B1872" s="30" t="str">
        <x:v>caribbean-broad-draft-1</x:v>
      </x:c>
      <x:c r="C1872" s="30" t="n">
        <x:v>1289681</x:v>
      </x:c>
      <x:c r="D1872" s="32" t="str">
        <x:v>Cuban Emerald</x:v>
      </x:c>
      <x:c r="E1872" s="32" t="str">
        <x:v>Riccordia ricordii</x:v>
      </x:c>
      <x:c r="F1872" s="30" t="str">
        <x:v>common</x:v>
      </x:c>
      <x:c r="G1872" s="30" t="str">
        <x:v>standard</x:v>
      </x:c>
      <x:c r="H1872" s="30" t="str">
        <x:v>year-round</x:v>
      </x:c>
      <x:c r="I18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3">
      <x:c r="A1873" s="36" t="str">
        <x:v>caribbean</x:v>
      </x:c>
      <x:c r="B1873" s="30" t="str">
        <x:v>caribbean-broad-draft-1</x:v>
      </x:c>
      <x:c r="C1873" s="30" t="n">
        <x:v>6951</x:v>
      </x:c>
      <x:c r="D1873" s="32" t="str">
        <x:v>White-cheeked Pintail</x:v>
      </x:c>
      <x:c r="E1873" s="32" t="str">
        <x:v>Anas bahamensis</x:v>
      </x:c>
      <x:c r="F1873" s="30" t="str">
        <x:v>common</x:v>
      </x:c>
      <x:c r="G1873" s="30" t="str">
        <x:v>standard</x:v>
      </x:c>
      <x:c r="H1873" s="30" t="str">
        <x:v>year-round</x:v>
      </x:c>
      <x:c r="I18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4">
      <x:c r="A1874" s="36" t="str">
        <x:v>caribbean</x:v>
      </x:c>
      <x:c r="B1874" s="30" t="str">
        <x:v>caribbean-broad-draft-1</x:v>
      </x:c>
      <x:c r="C1874" s="30" t="n">
        <x:v>145231</x:v>
      </x:c>
      <x:c r="D1874" s="32" t="str">
        <x:v>Cape May Warbler</x:v>
      </x:c>
      <x:c r="E1874" s="32" t="str">
        <x:v>Setophaga tigrina</x:v>
      </x:c>
      <x:c r="F1874" s="30" t="str">
        <x:v>common</x:v>
      </x:c>
      <x:c r="G1874" s="30" t="str">
        <x:v>standard</x:v>
      </x:c>
      <x:c r="H1874" s="30" t="str">
        <x:v>year-round</x:v>
      </x:c>
      <x:c r="I18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5">
      <x:c r="A1875" s="36" t="str">
        <x:v>caribbean</x:v>
      </x:c>
      <x:c r="B1875" s="30" t="str">
        <x:v>caribbean-broad-draft-1</x:v>
      </x:c>
      <x:c r="C1875" s="30" t="n">
        <x:v>10247</x:v>
      </x:c>
      <x:c r="D1875" s="32" t="str">
        <x:v>American Redstart</x:v>
      </x:c>
      <x:c r="E1875" s="32" t="str">
        <x:v>Setophaga ruticilla</x:v>
      </x:c>
      <x:c r="F1875" s="30" t="str">
        <x:v>common</x:v>
      </x:c>
      <x:c r="G1875" s="30" t="str">
        <x:v>standard</x:v>
      </x:c>
      <x:c r="H1875" s="30" t="str">
        <x:v>year-round</x:v>
      </x:c>
      <x:c r="I18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6">
      <x:c r="A1876" s="36" t="str">
        <x:v>caribbean</x:v>
      </x:c>
      <x:c r="B1876" s="30" t="str">
        <x:v>caribbean-broad-draft-1</x:v>
      </x:c>
      <x:c r="C1876" s="30" t="n">
        <x:v>12718</x:v>
      </x:c>
      <x:c r="D1876" s="32" t="str">
        <x:v>Western Red-legged Thrush</x:v>
      </x:c>
      <x:c r="E1876" s="32" t="str">
        <x:v>Turdus plumbeus</x:v>
      </x:c>
      <x:c r="F1876" s="30" t="str">
        <x:v>common</x:v>
      </x:c>
      <x:c r="G1876" s="30" t="str">
        <x:v>standard</x:v>
      </x:c>
      <x:c r="H1876" s="30" t="str">
        <x:v>year-round</x:v>
      </x:c>
      <x:c r="I18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7">
      <x:c r="A1877" s="36" t="str">
        <x:v>caribbean</x:v>
      </x:c>
      <x:c r="B1877" s="30" t="str">
        <x:v>caribbean-broad-draft-1</x:v>
      </x:c>
      <x:c r="C1877" s="30" t="n">
        <x:v>1964</x:v>
      </x:c>
      <x:c r="D1877" s="32" t="str">
        <x:v>Mangrove Cuckoo</x:v>
      </x:c>
      <x:c r="E1877" s="32" t="str">
        <x:v>Coccyzus minor</x:v>
      </x:c>
      <x:c r="F1877" s="30" t="str">
        <x:v>common</x:v>
      </x:c>
      <x:c r="G1877" s="30" t="str">
        <x:v>standard</x:v>
      </x:c>
      <x:c r="H1877" s="30" t="str">
        <x:v>year-round</x:v>
      </x:c>
      <x:c r="I18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8">
      <x:c r="A1878" s="36" t="str">
        <x:v>caribbean</x:v>
      </x:c>
      <x:c r="B1878" s="30" t="str">
        <x:v>caribbean-broad-draft-1</x:v>
      </x:c>
      <x:c r="C1878" s="30" t="n">
        <x:v>9345</x:v>
      </x:c>
      <x:c r="D1878" s="32" t="str">
        <x:v>Venezuelan Troupial</x:v>
      </x:c>
      <x:c r="E1878" s="32" t="str">
        <x:v>Icterus icterus</x:v>
      </x:c>
      <x:c r="F1878" s="30" t="str">
        <x:v>common</x:v>
      </x:c>
      <x:c r="G1878" s="30" t="str">
        <x:v>standard</x:v>
      </x:c>
      <x:c r="H1878" s="30" t="str">
        <x:v>year-round</x:v>
      </x:c>
      <x:c r="I18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79">
      <x:c r="A1879" s="36" t="str">
        <x:v>caribbean</x:v>
      </x:c>
      <x:c r="B1879" s="30" t="str">
        <x:v>caribbean-broad-draft-1</x:v>
      </x:c>
      <x:c r="C1879" s="30" t="n">
        <x:v>4793</x:v>
      </x:c>
      <x:c r="D1879" s="32" t="str">
        <x:v>Killdeer</x:v>
      </x:c>
      <x:c r="E1879" s="32" t="str">
        <x:v>Charadrius vociferus</x:v>
      </x:c>
      <x:c r="F1879" s="30" t="str">
        <x:v>common</x:v>
      </x:c>
      <x:c r="G1879" s="30" t="str">
        <x:v>standard</x:v>
      </x:c>
      <x:c r="H1879" s="30" t="str">
        <x:v>year-round</x:v>
      </x:c>
      <x:c r="I18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0">
      <x:c r="A1880" s="36" t="str">
        <x:v>caribbean</x:v>
      </x:c>
      <x:c r="B1880" s="30" t="str">
        <x:v>caribbean-broad-draft-1</x:v>
      </x:c>
      <x:c r="C1880" s="30" t="n">
        <x:v>6377</x:v>
      </x:c>
      <x:c r="D1880" s="32" t="str">
        <x:v>Antillean Crested Hummingbird</x:v>
      </x:c>
      <x:c r="E1880" s="32" t="str">
        <x:v>Orthorhyncus cristatus</x:v>
      </x:c>
      <x:c r="F1880" s="30" t="str">
        <x:v>common</x:v>
      </x:c>
      <x:c r="G1880" s="30" t="str">
        <x:v>standard</x:v>
      </x:c>
      <x:c r="H1880" s="30" t="str">
        <x:v>year-round</x:v>
      </x:c>
      <x:c r="I1880" s="37" t="str">
        <x:v>Owner-managed caribbean essential checklist; imported from caribbean_checklists.csv. Encounter rarity and prestige are curated game metadata. Automated rarity: inaturalist-regional-frequency-v1.</x:v>
      </x:c>
    </x:row>
    <x:row r="1881">
      <x:c r="A1881" s="36" t="str">
        <x:v>caribbean</x:v>
      </x:c>
      <x:c r="B1881" s="30" t="str">
        <x:v>caribbean-broad-draft-1</x:v>
      </x:c>
      <x:c r="C1881" s="30" t="n">
        <x:v>145233</x:v>
      </x:c>
      <x:c r="D1881" s="32" t="str">
        <x:v>Northern Parula</x:v>
      </x:c>
      <x:c r="E1881" s="32" t="str">
        <x:v>Setophaga americana</x:v>
      </x:c>
      <x:c r="F1881" s="30" t="str">
        <x:v>common</x:v>
      </x:c>
      <x:c r="G1881" s="30" t="str">
        <x:v>standard</x:v>
      </x:c>
      <x:c r="H1881" s="30" t="str">
        <x:v>year-round</x:v>
      </x:c>
      <x:c r="I18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2">
      <x:c r="A1882" s="36" t="str">
        <x:v>caribbean</x:v>
      </x:c>
      <x:c r="B1882" s="30" t="str">
        <x:v>caribbean-broad-draft-1</x:v>
      </x:c>
      <x:c r="C1882" s="30" t="n">
        <x:v>73504</x:v>
      </x:c>
      <x:c r="D1882" s="32" t="str">
        <x:v>Yellow-faced Grassquit</x:v>
      </x:c>
      <x:c r="E1882" s="32" t="str">
        <x:v>Tiaris olivaceus</x:v>
      </x:c>
      <x:c r="F1882" s="30" t="str">
        <x:v>common</x:v>
      </x:c>
      <x:c r="G1882" s="30" t="str">
        <x:v>standard</x:v>
      </x:c>
      <x:c r="H1882" s="30" t="str">
        <x:v>year-round</x:v>
      </x:c>
      <x:c r="I18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3">
      <x:c r="A1883" s="36" t="str">
        <x:v>caribbean</x:v>
      </x:c>
      <x:c r="B1883" s="30" t="str">
        <x:v>caribbean-broad-draft-1</x:v>
      </x:c>
      <x:c r="C1883" s="30" t="n">
        <x:v>4938</x:v>
      </x:c>
      <x:c r="D1883" s="32" t="str">
        <x:v>Tricolored Heron</x:v>
      </x:c>
      <x:c r="E1883" s="32" t="str">
        <x:v>Egretta tricolor</x:v>
      </x:c>
      <x:c r="F1883" s="30" t="str">
        <x:v>common</x:v>
      </x:c>
      <x:c r="G1883" s="30" t="str">
        <x:v>standard</x:v>
      </x:c>
      <x:c r="H1883" s="30" t="str">
        <x:v>year-round</x:v>
      </x:c>
      <x:c r="I18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4">
      <x:c r="A1884" s="36" t="str">
        <x:v>caribbean</x:v>
      </x:c>
      <x:c r="B1884" s="30" t="str">
        <x:v>caribbean-broad-draft-1</x:v>
      </x:c>
      <x:c r="C1884" s="30" t="n">
        <x:v>145249</x:v>
      </x:c>
      <x:c r="D1884" s="32" t="str">
        <x:v>Prairie Warbler</x:v>
      </x:c>
      <x:c r="E1884" s="32" t="str">
        <x:v>Setophaga discolor</x:v>
      </x:c>
      <x:c r="F1884" s="30" t="str">
        <x:v>common</x:v>
      </x:c>
      <x:c r="G1884" s="30" t="str">
        <x:v>standard</x:v>
      </x:c>
      <x:c r="H1884" s="30" t="str">
        <x:v>year-round</x:v>
      </x:c>
      <x:c r="I18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5">
      <x:c r="A1885" s="36" t="str">
        <x:v>caribbean</x:v>
      </x:c>
      <x:c r="B1885" s="30" t="str">
        <x:v>caribbean-broad-draft-1</x:v>
      </x:c>
      <x:c r="C1885" s="30" t="n">
        <x:v>5212</x:v>
      </x:c>
      <x:c r="D1885" s="32" t="str">
        <x:v>Red-tailed Hawk</x:v>
      </x:c>
      <x:c r="E1885" s="32" t="str">
        <x:v>Buteo jamaicensis</x:v>
      </x:c>
      <x:c r="F1885" s="30" t="str">
        <x:v>common</x:v>
      </x:c>
      <x:c r="G1885" s="30" t="str">
        <x:v>standard</x:v>
      </x:c>
      <x:c r="H1885" s="30" t="str">
        <x:v>year-round</x:v>
      </x:c>
      <x:c r="I18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6">
      <x:c r="A1886" s="36" t="str">
        <x:v>caribbean</x:v>
      </x:c>
      <x:c r="B1886" s="30" t="str">
        <x:v>caribbean-broad-draft-1</x:v>
      </x:c>
      <x:c r="C1886" s="30" t="n">
        <x:v>6427</x:v>
      </x:c>
      <x:c r="D1886" s="32" t="str">
        <x:v>Green-throated Carib</x:v>
      </x:c>
      <x:c r="E1886" s="32" t="str">
        <x:v>Eulampis holosericeus</x:v>
      </x:c>
      <x:c r="F1886" s="30" t="str">
        <x:v>common</x:v>
      </x:c>
      <x:c r="G1886" s="30" t="str">
        <x:v>standard</x:v>
      </x:c>
      <x:c r="H1886" s="30" t="str">
        <x:v>year-round</x:v>
      </x:c>
      <x:c r="I18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7">
      <x:c r="A1887" s="36" t="str">
        <x:v>caribbean</x:v>
      </x:c>
      <x:c r="B1887" s="30" t="str">
        <x:v>caribbean-broad-draft-1</x:v>
      </x:c>
      <x:c r="C1887" s="30" t="n">
        <x:v>5795</x:v>
      </x:c>
      <x:c r="D1887" s="32" t="str">
        <x:v>Hispaniolan Mango</x:v>
      </x:c>
      <x:c r="E1887" s="32" t="str">
        <x:v>Anthracothorax dominicus</x:v>
      </x:c>
      <x:c r="F1887" s="30" t="str">
        <x:v>common</x:v>
      </x:c>
      <x:c r="G1887" s="30" t="str">
        <x:v>standard</x:v>
      </x:c>
      <x:c r="H1887" s="30" t="str">
        <x:v>year-round</x:v>
      </x:c>
      <x:c r="I18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88">
      <x:c r="A1888" s="36" t="str">
        <x:v>caribbean</x:v>
      </x:c>
      <x:c r="B1888" s="30" t="str">
        <x:v>caribbean-broad-draft-1</x:v>
      </x:c>
      <x:c r="C1888" s="30" t="n">
        <x:v>6892</x:v>
      </x:c>
      <x:c r="D1888" s="32" t="str">
        <x:v>West Indian Whistling-Duck</x:v>
      </x:c>
      <x:c r="E1888" s="32" t="str">
        <x:v>Dendrocygna arborea</x:v>
      </x:c>
      <x:c r="F1888" s="30" t="str">
        <x:v>common</x:v>
      </x:c>
      <x:c r="G1888" s="30" t="str">
        <x:v>standard</x:v>
      </x:c>
      <x:c r="H1888" s="30" t="str">
        <x:v>year-round</x:v>
      </x:c>
      <x:c r="I1888" s="37" t="str">
        <x:v>Owner-managed caribbean essential checklist; imported from caribbean_checklists.csv. Encounter rarity and prestige are curated game metadata. Automated rarity: inaturalist-regional-frequency-v1.</x:v>
      </x:c>
    </x:row>
    <x:row r="1889">
      <x:c r="A1889" s="36" t="str">
        <x:v>caribbean</x:v>
      </x:c>
      <x:c r="B1889" s="30" t="str">
        <x:v>caribbean-broad-draft-1</x:v>
      </x:c>
      <x:c r="C1889" s="30" t="n">
        <x:v>3797</x:v>
      </x:c>
      <x:c r="D1889" s="32" t="str">
        <x:v>Brown Booby</x:v>
      </x:c>
      <x:c r="E1889" s="32" t="str">
        <x:v>Sula leucogaster</x:v>
      </x:c>
      <x:c r="F1889" s="30" t="str">
        <x:v>common</x:v>
      </x:c>
      <x:c r="G1889" s="30" t="str">
        <x:v>standard</x:v>
      </x:c>
      <x:c r="H1889" s="30" t="str">
        <x:v>year-round</x:v>
      </x:c>
      <x:c r="I18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0">
      <x:c r="A1890" s="36" t="str">
        <x:v>caribbean</x:v>
      </x:c>
      <x:c r="B1890" s="30" t="str">
        <x:v>caribbean-broad-draft-1</x:v>
      </x:c>
      <x:c r="C1890" s="30" t="n">
        <x:v>73412</x:v>
      </x:c>
      <x:c r="D1890" s="32" t="str">
        <x:v>Puerto Rican Spindalis</x:v>
      </x:c>
      <x:c r="E1890" s="32" t="str">
        <x:v>Spindalis portoricensis</x:v>
      </x:c>
      <x:c r="F1890" s="30" t="str">
        <x:v>common</x:v>
      </x:c>
      <x:c r="G1890" s="30" t="str">
        <x:v>standard</x:v>
      </x:c>
      <x:c r="H1890" s="30" t="str">
        <x:v>year-round</x:v>
      </x:c>
      <x:c r="I18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1">
      <x:c r="A1891" s="36" t="str">
        <x:v>caribbean</x:v>
      </x:c>
      <x:c r="B1891" s="30" t="str">
        <x:v>caribbean-broad-draft-1</x:v>
      </x:c>
      <x:c r="C1891" s="30" t="n">
        <x:v>199916</x:v>
      </x:c>
      <x:c r="D1891" s="32" t="str">
        <x:v>Black-throated Blue Warbler</x:v>
      </x:c>
      <x:c r="E1891" s="32" t="str">
        <x:v>Setophaga caerulescens</x:v>
      </x:c>
      <x:c r="F1891" s="30" t="str">
        <x:v>common</x:v>
      </x:c>
      <x:c r="G1891" s="30" t="str">
        <x:v>standard</x:v>
      </x:c>
      <x:c r="H1891" s="30" t="str">
        <x:v>year-round</x:v>
      </x:c>
      <x:c r="I18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2">
      <x:c r="A1892" s="36" t="str">
        <x:v>caribbean</x:v>
      </x:c>
      <x:c r="B1892" s="30" t="str">
        <x:v>caribbean-broad-draft-1</x:v>
      </x:c>
      <x:c r="C1892" s="30" t="n">
        <x:v>116999</x:v>
      </x:c>
      <x:c r="D1892" s="32" t="str">
        <x:v>Osprey</x:v>
      </x:c>
      <x:c r="E1892" s="32" t="str">
        <x:v>Pandion haliaetus</x:v>
      </x:c>
      <x:c r="F1892" s="30" t="str">
        <x:v>common</x:v>
      </x:c>
      <x:c r="G1892" s="30" t="str">
        <x:v>standard</x:v>
      </x:c>
      <x:c r="H1892" s="30" t="str">
        <x:v>year-round</x:v>
      </x:c>
      <x:c r="I18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3">
      <x:c r="A1893" s="36" t="str">
        <x:v>caribbean</x:v>
      </x:c>
      <x:c r="B1893" s="30" t="str">
        <x:v>caribbean-broad-draft-1</x:v>
      </x:c>
      <x:c r="C1893" s="30" t="n">
        <x:v>19349</x:v>
      </x:c>
      <x:c r="D1893" s="32" t="str">
        <x:v>Monk Parakeet</x:v>
      </x:c>
      <x:c r="E1893" s="32" t="str">
        <x:v>Myiopsitta monachus</x:v>
      </x:c>
      <x:c r="F1893" s="30" t="str">
        <x:v>common</x:v>
      </x:c>
      <x:c r="G1893" s="30" t="str">
        <x:v>standard</x:v>
      </x:c>
      <x:c r="H1893" s="30" t="str">
        <x:v>year-round</x:v>
      </x:c>
      <x:c r="I18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4">
      <x:c r="A1894" s="36" t="str">
        <x:v>caribbean</x:v>
      </x:c>
      <x:c r="B1894" s="30" t="str">
        <x:v>caribbean-broad-draft-1</x:v>
      </x:c>
      <x:c r="C1894" s="30" t="n">
        <x:v>4817</x:v>
      </x:c>
      <x:c r="D1894" s="32" t="str">
        <x:v>Semipalmated Plover</x:v>
      </x:c>
      <x:c r="E1894" s="32" t="str">
        <x:v>Charadrius semipalmatus</x:v>
      </x:c>
      <x:c r="F1894" s="30" t="str">
        <x:v>common</x:v>
      </x:c>
      <x:c r="G1894" s="30" t="str">
        <x:v>standard</x:v>
      </x:c>
      <x:c r="H1894" s="30" t="str">
        <x:v>year-round</x:v>
      </x:c>
      <x:c r="I18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5">
      <x:c r="A1895" s="36" t="str">
        <x:v>caribbean</x:v>
      </x:c>
      <x:c r="B1895" s="30" t="str">
        <x:v>caribbean-broad-draft-1</x:v>
      </x:c>
      <x:c r="C1895" s="30" t="n">
        <x:v>4956</x:v>
      </x:c>
      <x:c r="D1895" s="32" t="str">
        <x:v>Great Blue Heron</x:v>
      </x:c>
      <x:c r="E1895" s="32" t="str">
        <x:v>Ardea herodias</x:v>
      </x:c>
      <x:c r="F1895" s="30" t="str">
        <x:v>common</x:v>
      </x:c>
      <x:c r="G1895" s="30" t="str">
        <x:v>standard</x:v>
      </x:c>
      <x:c r="H1895" s="30" t="str">
        <x:v>year-round</x:v>
      </x:c>
      <x:c r="I18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6">
      <x:c r="A1896" s="36" t="str">
        <x:v>caribbean</x:v>
      </x:c>
      <x:c r="B1896" s="30" t="str">
        <x:v>caribbean-broad-draft-1</x:v>
      </x:c>
      <x:c r="C1896" s="30" t="n">
        <x:v>882</x:v>
      </x:c>
      <x:c r="D1896" s="32" t="str">
        <x:v>Red Junglefowl</x:v>
      </x:c>
      <x:c r="E1896" s="32" t="str">
        <x:v>Gallus gallus</x:v>
      </x:c>
      <x:c r="F1896" s="30" t="str">
        <x:v>common</x:v>
      </x:c>
      <x:c r="G1896" s="30" t="str">
        <x:v>standard</x:v>
      </x:c>
      <x:c r="H1896" s="30" t="str">
        <x:v>year-round</x:v>
      </x:c>
      <x:c r="I18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7">
      <x:c r="A1897" s="36" t="str">
        <x:v>caribbean</x:v>
      </x:c>
      <x:c r="B1897" s="30" t="str">
        <x:v>caribbean-broad-draft-1</x:v>
      </x:c>
      <x:c r="C1897" s="30" t="n">
        <x:v>17399</x:v>
      </x:c>
      <x:c r="D1897" s="32" t="str">
        <x:v>Black-whiskered Vireo</x:v>
      </x:c>
      <x:c r="E1897" s="32" t="str">
        <x:v>Vireo altiloquus</x:v>
      </x:c>
      <x:c r="F1897" s="30" t="str">
        <x:v>common</x:v>
      </x:c>
      <x:c r="G1897" s="30" t="str">
        <x:v>standard</x:v>
      </x:c>
      <x:c r="H1897" s="30" t="str">
        <x:v>year-round</x:v>
      </x:c>
      <x:c r="I18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8">
      <x:c r="A1898" s="36" t="str">
        <x:v>caribbean</x:v>
      </x:c>
      <x:c r="B1898" s="30" t="str">
        <x:v>caribbean-broad-draft-1</x:v>
      </x:c>
      <x:c r="C1898" s="30" t="n">
        <x:v>3454</x:v>
      </x:c>
      <x:c r="D1898" s="32" t="str">
        <x:v>Mourning Dove</x:v>
      </x:c>
      <x:c r="E1898" s="32" t="str">
        <x:v>Zenaida macroura</x:v>
      </x:c>
      <x:c r="F1898" s="30" t="str">
        <x:v>common</x:v>
      </x:c>
      <x:c r="G1898" s="30" t="str">
        <x:v>standard</x:v>
      </x:c>
      <x:c r="H1898" s="30" t="str">
        <x:v>year-round</x:v>
      </x:c>
      <x:c r="I18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899">
      <x:c r="A1899" s="36" t="str">
        <x:v>caribbean</x:v>
      </x:c>
      <x:c r="B1899" s="30" t="str">
        <x:v>caribbean-broad-draft-1</x:v>
      </x:c>
      <x:c r="C1899" s="30" t="n">
        <x:v>4840</x:v>
      </x:c>
      <x:c r="D1899" s="32" t="str">
        <x:v>American Oystercatcher</x:v>
      </x:c>
      <x:c r="E1899" s="32" t="str">
        <x:v>Haematopus palliatus</x:v>
      </x:c>
      <x:c r="F1899" s="30" t="str">
        <x:v>common</x:v>
      </x:c>
      <x:c r="G1899" s="30" t="str">
        <x:v>standard</x:v>
      </x:c>
      <x:c r="H1899" s="30" t="str">
        <x:v>year-round</x:v>
      </x:c>
      <x:c r="I18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0">
      <x:c r="A1900" s="36" t="str">
        <x:v>caribbean</x:v>
      </x:c>
      <x:c r="B1900" s="30" t="str">
        <x:v>caribbean-broad-draft-1</x:v>
      </x:c>
      <x:c r="C1900" s="30" t="n">
        <x:v>3893</x:v>
      </x:c>
      <x:c r="D1900" s="32" t="str">
        <x:v>Lesser Yellowlegs</x:v>
      </x:c>
      <x:c r="E1900" s="32" t="str">
        <x:v>Tringa flavipes</x:v>
      </x:c>
      <x:c r="F1900" s="30" t="str">
        <x:v>common</x:v>
      </x:c>
      <x:c r="G1900" s="30" t="str">
        <x:v>standard</x:v>
      </x:c>
      <x:c r="H1900" s="30" t="str">
        <x:v>year-round</x:v>
      </x:c>
      <x:c r="I19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1">
      <x:c r="A1901" s="36" t="str">
        <x:v>caribbean</x:v>
      </x:c>
      <x:c r="B1901" s="30" t="str">
        <x:v>caribbean-broad-draft-1</x:v>
      </x:c>
      <x:c r="C1901" s="30" t="n">
        <x:v>10371</x:v>
      </x:c>
      <x:c r="D1901" s="32" t="str">
        <x:v>Shiny Cowbird</x:v>
      </x:c>
      <x:c r="E1901" s="32" t="str">
        <x:v>Molothrus bonariensis</x:v>
      </x:c>
      <x:c r="F1901" s="30" t="str">
        <x:v>common</x:v>
      </x:c>
      <x:c r="G1901" s="30" t="str">
        <x:v>standard</x:v>
      </x:c>
      <x:c r="H1901" s="30" t="str">
        <x:v>year-round</x:v>
      </x:c>
      <x:c r="I19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2">
      <x:c r="A1902" s="36" t="str">
        <x:v>caribbean</x:v>
      </x:c>
      <x:c r="B1902" s="30" t="str">
        <x:v>caribbean-broad-draft-1</x:v>
      </x:c>
      <x:c r="C1902" s="30" t="n">
        <x:v>4257</x:v>
      </x:c>
      <x:c r="D1902" s="32" t="str">
        <x:v>American Flamingo</x:v>
      </x:c>
      <x:c r="E1902" s="32" t="str">
        <x:v>Phoenicopterus ruber</x:v>
      </x:c>
      <x:c r="F1902" s="30" t="str">
        <x:v>common</x:v>
      </x:c>
      <x:c r="G1902" s="30" t="str">
        <x:v>standard</x:v>
      </x:c>
      <x:c r="H1902" s="30" t="str">
        <x:v>year-round</x:v>
      </x:c>
      <x:c r="I1902" s="37" t="str">
        <x:v>Owner-managed caribbean essential checklist; imported from caribbean_checklists.csv. Encounter rarity and prestige are curated game metadata. Automated rarity: inaturalist-regional-frequency-v1.</x:v>
      </x:c>
    </x:row>
    <x:row r="1903">
      <x:c r="A1903" s="36" t="str">
        <x:v>caribbean</x:v>
      </x:c>
      <x:c r="B1903" s="30" t="str">
        <x:v>caribbean-broad-draft-1</x:v>
      </x:c>
      <x:c r="C1903" s="30" t="n">
        <x:v>16085</x:v>
      </x:c>
      <x:c r="D1903" s="32" t="str">
        <x:v>Cuban Pewee</x:v>
      </x:c>
      <x:c r="E1903" s="32" t="str">
        <x:v>Contopus caribaeus</x:v>
      </x:c>
      <x:c r="F1903" s="30" t="str">
        <x:v>common</x:v>
      </x:c>
      <x:c r="G1903" s="30" t="str">
        <x:v>standard</x:v>
      </x:c>
      <x:c r="H1903" s="30" t="str">
        <x:v>year-round</x:v>
      </x:c>
      <x:c r="I19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4">
      <x:c r="A1904" s="36" t="str">
        <x:v>caribbean</x:v>
      </x:c>
      <x:c r="B1904" s="30" t="str">
        <x:v>caribbean-broad-draft-1</x:v>
      </x:c>
      <x:c r="C1904" s="30" t="n">
        <x:v>509678</x:v>
      </x:c>
      <x:c r="D1904" s="32" t="str">
        <x:v>Red-billed Streamertail</x:v>
      </x:c>
      <x:c r="E1904" s="32" t="str">
        <x:v>Trochilus polytmus</x:v>
      </x:c>
      <x:c r="F1904" s="30" t="str">
        <x:v>common</x:v>
      </x:c>
      <x:c r="G1904" s="30" t="str">
        <x:v>standard</x:v>
      </x:c>
      <x:c r="H1904" s="30" t="str">
        <x:v>year-round</x:v>
      </x:c>
      <x:c r="I19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5">
      <x:c r="A1905" s="36" t="str">
        <x:v>caribbean</x:v>
      </x:c>
      <x:c r="B1905" s="30" t="str">
        <x:v>caribbean-broad-draft-1</x:v>
      </x:c>
      <x:c r="C1905" s="30" t="n">
        <x:v>2117</x:v>
      </x:c>
      <x:c r="D1905" s="32" t="str">
        <x:v>Cuban Tody</x:v>
      </x:c>
      <x:c r="E1905" s="32" t="str">
        <x:v>Todus multicolor</x:v>
      </x:c>
      <x:c r="F1905" s="30" t="str">
        <x:v>common</x:v>
      </x:c>
      <x:c r="G1905" s="30" t="str">
        <x:v>standard</x:v>
      </x:c>
      <x:c r="H1905" s="30" t="str">
        <x:v>year-round</x:v>
      </x:c>
      <x:c r="I1905" s="37" t="str">
        <x:v>Owner-managed caribbean essential checklist; imported from caribbean_checklists.csv. Encounter rarity and prestige are curated game metadata. Automated rarity: inaturalist-regional-frequency-v1.</x:v>
      </x:c>
    </x:row>
    <x:row r="1906">
      <x:c r="A1906" s="36" t="str">
        <x:v>caribbean</x:v>
      </x:c>
      <x:c r="B1906" s="30" t="str">
        <x:v>caribbean-broad-draft-1</x:v>
      </x:c>
      <x:c r="C1906" s="30" t="n">
        <x:v>18193</x:v>
      </x:c>
      <x:c r="D1906" s="32" t="str">
        <x:v>West Indian Woodpecker</x:v>
      </x:c>
      <x:c r="E1906" s="32" t="str">
        <x:v>Melanerpes superciliaris</x:v>
      </x:c>
      <x:c r="F1906" s="30" t="str">
        <x:v>common</x:v>
      </x:c>
      <x:c r="G1906" s="30" t="str">
        <x:v>standard</x:v>
      </x:c>
      <x:c r="H1906" s="30" t="str">
        <x:v>year-round</x:v>
      </x:c>
      <x:c r="I19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7">
      <x:c r="A1907" s="36" t="str">
        <x:v>caribbean</x:v>
      </x:c>
      <x:c r="B1907" s="30" t="str">
        <x:v>caribbean-broad-draft-1</x:v>
      </x:c>
      <x:c r="C1907" s="30" t="n">
        <x:v>16024</x:v>
      </x:c>
      <x:c r="D1907" s="32" t="str">
        <x:v>Puerto Rican Flycatcher</x:v>
      </x:c>
      <x:c r="E1907" s="32" t="str">
        <x:v>Myiarchus antillarum</x:v>
      </x:c>
      <x:c r="F1907" s="30" t="str">
        <x:v>common</x:v>
      </x:c>
      <x:c r="G1907" s="30" t="str">
        <x:v>standard</x:v>
      </x:c>
      <x:c r="H1907" s="30" t="str">
        <x:v>year-round</x:v>
      </x:c>
      <x:c r="I19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8">
      <x:c r="A1908" s="36" t="str">
        <x:v>caribbean</x:v>
      </x:c>
      <x:c r="B1908" s="30" t="str">
        <x:v>caribbean-broad-draft-1</x:v>
      </x:c>
      <x:c r="C1908" s="30" t="n">
        <x:v>6430</x:v>
      </x:c>
      <x:c r="D1908" s="32" t="str">
        <x:v>Purple-throated Carib</x:v>
      </x:c>
      <x:c r="E1908" s="32" t="str">
        <x:v>Eulampis jugularis</x:v>
      </x:c>
      <x:c r="F1908" s="30" t="str">
        <x:v>common</x:v>
      </x:c>
      <x:c r="G1908" s="30" t="str">
        <x:v>standard</x:v>
      </x:c>
      <x:c r="H1908" s="30" t="str">
        <x:v>year-round</x:v>
      </x:c>
      <x:c r="I19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09">
      <x:c r="A1909" s="36" t="str">
        <x:v>caribbean</x:v>
      </x:c>
      <x:c r="B1909" s="30" t="str">
        <x:v>caribbean-broad-draft-1</x:v>
      </x:c>
      <x:c r="C1909" s="30" t="n">
        <x:v>2118</x:v>
      </x:c>
      <x:c r="D1909" s="32" t="str">
        <x:v>Broad-billed Tody</x:v>
      </x:c>
      <x:c r="E1909" s="32" t="str">
        <x:v>Todus subulatus</x:v>
      </x:c>
      <x:c r="F1909" s="30" t="str">
        <x:v>common</x:v>
      </x:c>
      <x:c r="G1909" s="30" t="str">
        <x:v>standard</x:v>
      </x:c>
      <x:c r="H1909" s="30" t="str">
        <x:v>year-round</x:v>
      </x:c>
      <x:c r="I19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0">
      <x:c r="A1910" s="36" t="str">
        <x:v>caribbean</x:v>
      </x:c>
      <x:c r="B1910" s="30" t="str">
        <x:v>caribbean-broad-draft-1</x:v>
      </x:c>
      <x:c r="C1910" s="30" t="n">
        <x:v>1505633</x:v>
      </x:c>
      <x:c r="D1910" s="32" t="str">
        <x:v>Wilson's Plover</x:v>
      </x:c>
      <x:c r="E1910" s="32" t="str">
        <x:v>Anarhynchus wilsonia</x:v>
      </x:c>
      <x:c r="F1910" s="30" t="str">
        <x:v>common</x:v>
      </x:c>
      <x:c r="G1910" s="30" t="str">
        <x:v>standard</x:v>
      </x:c>
      <x:c r="H1910" s="30" t="str">
        <x:v>year-round</x:v>
      </x:c>
      <x:c r="I19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1">
      <x:c r="A1911" s="36" t="str">
        <x:v>caribbean</x:v>
      </x:c>
      <x:c r="B1911" s="30" t="str">
        <x:v>caribbean-broad-draft-1</x:v>
      </x:c>
      <x:c r="C1911" s="30" t="n">
        <x:v>558593</x:v>
      </x:c>
      <x:c r="D1911" s="32" t="str">
        <x:v>Cuban Blackbird</x:v>
      </x:c>
      <x:c r="E1911" s="32" t="str">
        <x:v>Ptiloxena atroviolacea</x:v>
      </x:c>
      <x:c r="F1911" s="30" t="str">
        <x:v>common</x:v>
      </x:c>
      <x:c r="G1911" s="30" t="str">
        <x:v>standard</x:v>
      </x:c>
      <x:c r="H1911" s="30" t="str">
        <x:v>year-round</x:v>
      </x:c>
      <x:c r="I19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2">
      <x:c r="A1912" s="36" t="str">
        <x:v>caribbean</x:v>
      </x:c>
      <x:c r="B1912" s="30" t="str">
        <x:v>caribbean-broad-draft-1</x:v>
      </x:c>
      <x:c r="C1912" s="30" t="n">
        <x:v>20844</x:v>
      </x:c>
      <x:c r="D1912" s="32" t="str">
        <x:v>Cuban Trogon</x:v>
      </x:c>
      <x:c r="E1912" s="32" t="str">
        <x:v>Priotelus temnurus</x:v>
      </x:c>
      <x:c r="F1912" s="30" t="str">
        <x:v>common</x:v>
      </x:c>
      <x:c r="G1912" s="30" t="str">
        <x:v>standard</x:v>
      </x:c>
      <x:c r="H1912" s="30" t="str">
        <x:v>year-round</x:v>
      </x:c>
      <x:c r="I19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3">
      <x:c r="A1913" s="36" t="str">
        <x:v>caribbean</x:v>
      </x:c>
      <x:c r="B1913" s="30" t="str">
        <x:v>caribbean-broad-draft-1</x:v>
      </x:c>
      <x:c r="C1913" s="30" t="n">
        <x:v>145238</x:v>
      </x:c>
      <x:c r="D1913" s="32" t="str">
        <x:v>Mangrove Yellow Warbler</x:v>
      </x:c>
      <x:c r="E1913" s="32" t="str">
        <x:v>Setophaga petechia</x:v>
      </x:c>
      <x:c r="F1913" s="30" t="str">
        <x:v>common</x:v>
      </x:c>
      <x:c r="G1913" s="30" t="str">
        <x:v>standard</x:v>
      </x:c>
      <x:c r="H1913" s="30" t="str">
        <x:v>year-round</x:v>
      </x:c>
      <x:c r="I19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4">
      <x:c r="A1914" s="36" t="str">
        <x:v>caribbean</x:v>
      </x:c>
      <x:c r="B1914" s="30" t="str">
        <x:v>caribbean-broad-draft-1</x:v>
      </x:c>
      <x:c r="C1914" s="30" t="n">
        <x:v>3849</x:v>
      </x:c>
      <x:c r="D1914" s="32" t="str">
        <x:v>Sanderling</x:v>
      </x:c>
      <x:c r="E1914" s="32" t="str">
        <x:v>Calidris alba</x:v>
      </x:c>
      <x:c r="F1914" s="30" t="str">
        <x:v>common</x:v>
      </x:c>
      <x:c r="G1914" s="30" t="str">
        <x:v>standard</x:v>
      </x:c>
      <x:c r="H1914" s="30" t="str">
        <x:v>year-round</x:v>
      </x:c>
      <x:c r="I19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5">
      <x:c r="A1915" s="36" t="str">
        <x:v>caribbean</x:v>
      </x:c>
      <x:c r="B1915" s="30" t="str">
        <x:v>caribbean-broad-draft-1</x:v>
      </x:c>
      <x:c r="C1915" s="30" t="n">
        <x:v>13893</x:v>
      </x:c>
      <x:c r="D1915" s="32" t="str">
        <x:v>Scaly-breasted Munia</x:v>
      </x:c>
      <x:c r="E1915" s="32" t="str">
        <x:v>Lonchura punctulata</x:v>
      </x:c>
      <x:c r="F1915" s="30" t="str">
        <x:v>common</x:v>
      </x:c>
      <x:c r="G1915" s="30" t="str">
        <x:v>standard</x:v>
      </x:c>
      <x:c r="H1915" s="30" t="str">
        <x:v>year-round</x:v>
      </x:c>
      <x:c r="I19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6">
      <x:c r="A1916" s="36" t="str">
        <x:v>caribbean</x:v>
      </x:c>
      <x:c r="B1916" s="30" t="str">
        <x:v>caribbean-broad-draft-1</x:v>
      </x:c>
      <x:c r="C1916" s="30" t="n">
        <x:v>13796</x:v>
      </x:c>
      <x:c r="D1916" s="32" t="str">
        <x:v>Village Weaver</x:v>
      </x:c>
      <x:c r="E1916" s="32" t="str">
        <x:v>Ploceus cucullatus</x:v>
      </x:c>
      <x:c r="F1916" s="30" t="str">
        <x:v>common</x:v>
      </x:c>
      <x:c r="G1916" s="30" t="str">
        <x:v>standard</x:v>
      </x:c>
      <x:c r="H1916" s="30" t="str">
        <x:v>year-round</x:v>
      </x:c>
      <x:c r="I19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7">
      <x:c r="A1917" s="36" t="str">
        <x:v>caribbean</x:v>
      </x:c>
      <x:c r="B1917" s="30" t="str">
        <x:v>caribbean-broad-draft-1</x:v>
      </x:c>
      <x:c r="C1917" s="30" t="n">
        <x:v>145246</x:v>
      </x:c>
      <x:c r="D1917" s="32" t="str">
        <x:v>Yellow-throated Warbler</x:v>
      </x:c>
      <x:c r="E1917" s="32" t="str">
        <x:v>Setophaga dominica</x:v>
      </x:c>
      <x:c r="F1917" s="30" t="str">
        <x:v>common</x:v>
      </x:c>
      <x:c r="G1917" s="30" t="str">
        <x:v>standard</x:v>
      </x:c>
      <x:c r="H1917" s="30" t="str">
        <x:v>year-round</x:v>
      </x:c>
      <x:c r="I19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8">
      <x:c r="A1918" s="36" t="str">
        <x:v>caribbean</x:v>
      </x:c>
      <x:c r="B1918" s="30" t="str">
        <x:v>caribbean-broad-draft-1</x:v>
      </x:c>
      <x:c r="C1918" s="30" t="n">
        <x:v>10286</x:v>
      </x:c>
      <x:c r="D1918" s="32" t="str">
        <x:v>Black-and-white Warbler</x:v>
      </x:c>
      <x:c r="E1918" s="32" t="str">
        <x:v>Mniotilta varia</x:v>
      </x:c>
      <x:c r="F1918" s="30" t="str">
        <x:v>common</x:v>
      </x:c>
      <x:c r="G1918" s="30" t="str">
        <x:v>standard</x:v>
      </x:c>
      <x:c r="H1918" s="30" t="str">
        <x:v>year-round</x:v>
      </x:c>
      <x:c r="I19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19">
      <x:c r="A1919" s="36" t="str">
        <x:v>caribbean</x:v>
      </x:c>
      <x:c r="B1919" s="30" t="str">
        <x:v>caribbean-broad-draft-1</x:v>
      </x:c>
      <x:c r="C1919" s="30" t="n">
        <x:v>4892</x:v>
      </x:c>
      <x:c r="D1919" s="32" t="str">
        <x:v>Black-bellied Plover</x:v>
      </x:c>
      <x:c r="E1919" s="32" t="str">
        <x:v>Pluvialis squatarola</x:v>
      </x:c>
      <x:c r="F1919" s="30" t="str">
        <x:v>common</x:v>
      </x:c>
      <x:c r="G1919" s="30" t="str">
        <x:v>standard</x:v>
      </x:c>
      <x:c r="H1919" s="30" t="str">
        <x:v>year-round</x:v>
      </x:c>
      <x:c r="I19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0">
      <x:c r="A1920" s="36" t="str">
        <x:v>caribbean</x:v>
      </x:c>
      <x:c r="B1920" s="30" t="str">
        <x:v>caribbean-broad-draft-1</x:v>
      </x:c>
      <x:c r="C1920" s="30" t="n">
        <x:v>19602</x:v>
      </x:c>
      <x:c r="D1920" s="32" t="str">
        <x:v>Antillean Nighthawk</x:v>
      </x:c>
      <x:c r="E1920" s="32" t="str">
        <x:v>Chordeiles gundlachii</x:v>
      </x:c>
      <x:c r="F1920" s="30" t="str">
        <x:v>common</x:v>
      </x:c>
      <x:c r="G1920" s="30" t="str">
        <x:v>standard</x:v>
      </x:c>
      <x:c r="H1920" s="30" t="str">
        <x:v>year-round</x:v>
      </x:c>
      <x:c r="I19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1">
      <x:c r="A1921" s="36" t="str">
        <x:v>caribbean</x:v>
      </x:c>
      <x:c r="B1921" s="30" t="str">
        <x:v>caribbean-broad-draft-1</x:v>
      </x:c>
      <x:c r="C1921" s="30" t="n">
        <x:v>11874</x:v>
      </x:c>
      <x:c r="D1921" s="32" t="str">
        <x:v>Caribbean Martin</x:v>
      </x:c>
      <x:c r="E1921" s="32" t="str">
        <x:v>Progne dominicensis</x:v>
      </x:c>
      <x:c r="F1921" s="30" t="str">
        <x:v>common</x:v>
      </x:c>
      <x:c r="G1921" s="30" t="str">
        <x:v>standard</x:v>
      </x:c>
      <x:c r="H1921" s="30" t="str">
        <x:v>year-round</x:v>
      </x:c>
      <x:c r="I19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2">
      <x:c r="A1922" s="36" t="str">
        <x:v>caribbean</x:v>
      </x:c>
      <x:c r="B1922" s="30" t="str">
        <x:v>caribbean-broad-draft-1</x:v>
      </x:c>
      <x:c r="C1922" s="30" t="n">
        <x:v>3751</x:v>
      </x:c>
      <x:c r="D1922" s="32" t="str">
        <x:v>White Ibis</x:v>
      </x:c>
      <x:c r="E1922" s="32" t="str">
        <x:v>Eudocimus albus</x:v>
      </x:c>
      <x:c r="F1922" s="30" t="str">
        <x:v>common</x:v>
      </x:c>
      <x:c r="G1922" s="30" t="str">
        <x:v>standard</x:v>
      </x:c>
      <x:c r="H1922" s="30" t="str">
        <x:v>year-round</x:v>
      </x:c>
      <x:c r="I19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3">
      <x:c r="A1923" s="36" t="str">
        <x:v>caribbean</x:v>
      </x:c>
      <x:c r="B1923" s="30" t="str">
        <x:v>caribbean-broad-draft-1</x:v>
      </x:c>
      <x:c r="C1923" s="30" t="n">
        <x:v>72743</x:v>
      </x:c>
      <x:c r="D1923" s="32" t="str">
        <x:v>Great Lizard-Cuckoo</x:v>
      </x:c>
      <x:c r="E1923" s="32" t="str">
        <x:v>Coccyzus merlini</x:v>
      </x:c>
      <x:c r="F1923" s="30" t="str">
        <x:v>common</x:v>
      </x:c>
      <x:c r="G1923" s="30" t="str">
        <x:v>standard</x:v>
      </x:c>
      <x:c r="H1923" s="30" t="str">
        <x:v>year-round</x:v>
      </x:c>
      <x:c r="I19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4">
      <x:c r="A1924" s="36" t="str">
        <x:v>caribbean</x:v>
      </x:c>
      <x:c r="B1924" s="30" t="str">
        <x:v>caribbean-broad-draft-1</x:v>
      </x:c>
      <x:c r="C1924" s="30" t="n">
        <x:v>14884</x:v>
      </x:c>
      <x:c r="D1924" s="32" t="str">
        <x:v>Tropical Mockingbird</x:v>
      </x:c>
      <x:c r="E1924" s="32" t="str">
        <x:v>Mimus gilvus</x:v>
      </x:c>
      <x:c r="F1924" s="30" t="str">
        <x:v>common</x:v>
      </x:c>
      <x:c r="G1924" s="30" t="str">
        <x:v>standard</x:v>
      </x:c>
      <x:c r="H1924" s="30" t="str">
        <x:v>year-round</x:v>
      </x:c>
      <x:c r="I19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5">
      <x:c r="A1925" s="36" t="str">
        <x:v>caribbean</x:v>
      </x:c>
      <x:c r="B1925" s="30" t="str">
        <x:v>caribbean-broad-draft-1</x:v>
      </x:c>
      <x:c r="C1925" s="30" t="n">
        <x:v>144541</x:v>
      </x:c>
      <x:c r="D1925" s="32" t="str">
        <x:v>Sandwich Tern</x:v>
      </x:c>
      <x:c r="E1925" s="32" t="str">
        <x:v>Thalasseus sandvicensis</x:v>
      </x:c>
      <x:c r="F1925" s="30" t="str">
        <x:v>common</x:v>
      </x:c>
      <x:c r="G1925" s="30" t="str">
        <x:v>standard</x:v>
      </x:c>
      <x:c r="H1925" s="30" t="str">
        <x:v>year-round</x:v>
      </x:c>
      <x:c r="I19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6">
      <x:c r="A1926" s="36" t="str">
        <x:v>caribbean</x:v>
      </x:c>
      <x:c r="B1926" s="30" t="str">
        <x:v>caribbean-broad-draft-1</x:v>
      </x:c>
      <x:c r="C1926" s="30" t="n">
        <x:v>16025</x:v>
      </x:c>
      <x:c r="D1926" s="32" t="str">
        <x:v>La Sagra's Flycatcher</x:v>
      </x:c>
      <x:c r="E1926" s="32" t="str">
        <x:v>Myiarchus sagrae</x:v>
      </x:c>
      <x:c r="F1926" s="30" t="str">
        <x:v>common</x:v>
      </x:c>
      <x:c r="G1926" s="30" t="str">
        <x:v>standard</x:v>
      </x:c>
      <x:c r="H1926" s="30" t="str">
        <x:v>year-round</x:v>
      </x:c>
      <x:c r="I19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7">
      <x:c r="A1927" s="36" t="str">
        <x:v>caribbean</x:v>
      </x:c>
      <x:c r="B1927" s="30" t="str">
        <x:v>caribbean-broad-draft-1</x:v>
      </x:c>
      <x:c r="C1927" s="30" t="n">
        <x:v>3756</x:v>
      </x:c>
      <x:c r="D1927" s="32" t="str">
        <x:v>Glossy Ibis</x:v>
      </x:c>
      <x:c r="E1927" s="32" t="str">
        <x:v>Plegadis falcinellus</x:v>
      </x:c>
      <x:c r="F1927" s="30" t="str">
        <x:v>common</x:v>
      </x:c>
      <x:c r="G1927" s="30" t="str">
        <x:v>standard</x:v>
      </x:c>
      <x:c r="H1927" s="30" t="str">
        <x:v>year-round</x:v>
      </x:c>
      <x:c r="I19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8">
      <x:c r="A1928" s="36" t="str">
        <x:v>caribbean</x:v>
      </x:c>
      <x:c r="B1928" s="30" t="str">
        <x:v>caribbean-broad-draft-1</x:v>
      </x:c>
      <x:c r="C1928" s="30" t="n">
        <x:v>72952</x:v>
      </x:c>
      <x:c r="D1928" s="32" t="str">
        <x:v>Puerto Rican Oriole</x:v>
      </x:c>
      <x:c r="E1928" s="32" t="str">
        <x:v>Icterus portoricensis</x:v>
      </x:c>
      <x:c r="F1928" s="30" t="str">
        <x:v>common</x:v>
      </x:c>
      <x:c r="G1928" s="30" t="str">
        <x:v>standard</x:v>
      </x:c>
      <x:c r="H1928" s="30" t="str">
        <x:v>year-round</x:v>
      </x:c>
      <x:c r="I19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29">
      <x:c r="A1929" s="36" t="str">
        <x:v>caribbean</x:v>
      </x:c>
      <x:c r="B1929" s="30" t="str">
        <x:v>caribbean-broad-draft-1</x:v>
      </x:c>
      <x:c r="C1929" s="30" t="n">
        <x:v>3864</x:v>
      </x:c>
      <x:c r="D1929" s="32" t="str">
        <x:v>Least Sandpiper</x:v>
      </x:c>
      <x:c r="E1929" s="32" t="str">
        <x:v>Calidris minutilla</x:v>
      </x:c>
      <x:c r="F1929" s="30" t="str">
        <x:v>common</x:v>
      </x:c>
      <x:c r="G1929" s="30" t="str">
        <x:v>standard</x:v>
      </x:c>
      <x:c r="H1929" s="30" t="str">
        <x:v>year-round</x:v>
      </x:c>
      <x:c r="I19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0">
      <x:c r="A1930" s="36" t="str">
        <x:v>caribbean</x:v>
      </x:c>
      <x:c r="B1930" s="30" t="str">
        <x:v>caribbean-broad-draft-1</x:v>
      </x:c>
      <x:c r="C1930" s="30" t="n">
        <x:v>6425</x:v>
      </x:c>
      <x:c r="D1930" s="32" t="str">
        <x:v>Bee Hummingbird</x:v>
      </x:c>
      <x:c r="E1930" s="32" t="str">
        <x:v>Mellisuga helenae</x:v>
      </x:c>
      <x:c r="F1930" s="30" t="str">
        <x:v>common</x:v>
      </x:c>
      <x:c r="G1930" s="30" t="str">
        <x:v>standard</x:v>
      </x:c>
      <x:c r="H1930" s="30" t="str">
        <x:v>year-round</x:v>
      </x:c>
      <x:c r="I19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1">
      <x:c r="A1931" s="36" t="str">
        <x:v>caribbean</x:v>
      </x:c>
      <x:c r="B1931" s="30" t="str">
        <x:v>caribbean-broad-draft-1</x:v>
      </x:c>
      <x:c r="C1931" s="30" t="n">
        <x:v>10290</x:v>
      </x:c>
      <x:c r="D1931" s="32" t="str">
        <x:v>Black-crowned Palm-Tanager</x:v>
      </x:c>
      <x:c r="E1931" s="32" t="str">
        <x:v>Phaenicophilus palmarum</x:v>
      </x:c>
      <x:c r="F1931" s="30" t="str">
        <x:v>common</x:v>
      </x:c>
      <x:c r="G1931" s="30" t="str">
        <x:v>standard</x:v>
      </x:c>
      <x:c r="H1931" s="30" t="str">
        <x:v>year-round</x:v>
      </x:c>
      <x:c r="I19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2">
      <x:c r="A1932" s="36" t="str">
        <x:v>caribbean</x:v>
      </x:c>
      <x:c r="B1932" s="30" t="str">
        <x:v>caribbean-broad-draft-1</x:v>
      </x:c>
      <x:c r="C1932" s="30" t="n">
        <x:v>1428819</x:v>
      </x:c>
      <x:c r="D1932" s="32" t="str">
        <x:v>Puerto Rican Mango</x:v>
      </x:c>
      <x:c r="E1932" s="32" t="str">
        <x:v>Anthracothorax aurulentus</x:v>
      </x:c>
      <x:c r="F1932" s="30" t="str">
        <x:v>common</x:v>
      </x:c>
      <x:c r="G1932" s="30" t="str">
        <x:v>standard</x:v>
      </x:c>
      <x:c r="H1932" s="30" t="str">
        <x:v>year-round</x:v>
      </x:c>
      <x:c r="I19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3">
      <x:c r="A1933" s="36" t="str">
        <x:v>caribbean</x:v>
      </x:c>
      <x:c r="B1933" s="30" t="str">
        <x:v>caribbean-broad-draft-1</x:v>
      </x:c>
      <x:c r="C1933" s="30" t="n">
        <x:v>72747</x:v>
      </x:c>
      <x:c r="D1933" s="32" t="str">
        <x:v>Puerto Rican Lizard-Cuckoo</x:v>
      </x:c>
      <x:c r="E1933" s="32" t="str">
        <x:v>Coccyzus vieilloti</x:v>
      </x:c>
      <x:c r="F1933" s="30" t="str">
        <x:v>common</x:v>
      </x:c>
      <x:c r="G1933" s="30" t="str">
        <x:v>standard</x:v>
      </x:c>
      <x:c r="H1933" s="30" t="str">
        <x:v>year-round</x:v>
      </x:c>
      <x:c r="I19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4">
      <x:c r="A1934" s="36" t="str">
        <x:v>caribbean</x:v>
      </x:c>
      <x:c r="B1934" s="30" t="str">
        <x:v>caribbean-broad-draft-1</x:v>
      </x:c>
      <x:c r="C1934" s="30" t="n">
        <x:v>16702</x:v>
      </x:c>
      <x:c r="D1934" s="32" t="str">
        <x:v>Caribbean Elaenia</x:v>
      </x:c>
      <x:c r="E1934" s="32" t="str">
        <x:v>Elaenia martinica</x:v>
      </x:c>
      <x:c r="F1934" s="30" t="str">
        <x:v>common</x:v>
      </x:c>
      <x:c r="G1934" s="30" t="str">
        <x:v>standard</x:v>
      </x:c>
      <x:c r="H1934" s="30" t="str">
        <x:v>year-round</x:v>
      </x:c>
      <x:c r="I19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5">
      <x:c r="A1935" s="36" t="str">
        <x:v>caribbean</x:v>
      </x:c>
      <x:c r="B1935" s="30" t="str">
        <x:v>caribbean-broad-draft-1</x:v>
      </x:c>
      <x:c r="C1935" s="30" t="n">
        <x:v>18475</x:v>
      </x:c>
      <x:c r="D1935" s="32" t="str">
        <x:v>Cuban Green Woodpecker</x:v>
      </x:c>
      <x:c r="E1935" s="32" t="str">
        <x:v>Xiphidiopicus percussus</x:v>
      </x:c>
      <x:c r="F1935" s="30" t="str">
        <x:v>common</x:v>
      </x:c>
      <x:c r="G1935" s="30" t="str">
        <x:v>standard</x:v>
      </x:c>
      <x:c r="H1935" s="30" t="str">
        <x:v>year-round</x:v>
      </x:c>
      <x:c r="I19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6">
      <x:c r="A1936" s="36" t="str">
        <x:v>caribbean</x:v>
      </x:c>
      <x:c r="B1936" s="30" t="str">
        <x:v>caribbean-broad-draft-1</x:v>
      </x:c>
      <x:c r="C1936" s="30" t="n">
        <x:v>10731</x:v>
      </x:c>
      <x:c r="D1936" s="32" t="str">
        <x:v>Western Spindalis</x:v>
      </x:c>
      <x:c r="E1936" s="32" t="str">
        <x:v>Spindalis zena</x:v>
      </x:c>
      <x:c r="F1936" s="30" t="str">
        <x:v>common</x:v>
      </x:c>
      <x:c r="G1936" s="30" t="str">
        <x:v>standard</x:v>
      </x:c>
      <x:c r="H1936" s="30" t="str">
        <x:v>year-round</x:v>
      </x:c>
      <x:c r="I19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7">
      <x:c r="A1937" s="36" t="str">
        <x:v>caribbean</x:v>
      </x:c>
      <x:c r="B1937" s="30" t="str">
        <x:v>caribbean-broad-draft-1</x:v>
      </x:c>
      <x:c r="C1937" s="30" t="n">
        <x:v>145250</x:v>
      </x:c>
      <x:c r="D1937" s="32" t="str">
        <x:v>Adelaide's Warbler</x:v>
      </x:c>
      <x:c r="E1937" s="32" t="str">
        <x:v>Setophaga adelaidae</x:v>
      </x:c>
      <x:c r="F1937" s="30" t="str">
        <x:v>common</x:v>
      </x:c>
      <x:c r="G1937" s="30" t="str">
        <x:v>standard</x:v>
      </x:c>
      <x:c r="H1937" s="30" t="str">
        <x:v>year-round</x:v>
      </x:c>
      <x:c r="I19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8">
      <x:c r="A1938" s="36" t="str">
        <x:v>caribbean</x:v>
      </x:c>
      <x:c r="B1938" s="30" t="str">
        <x:v>caribbean-broad-draft-1</x:v>
      </x:c>
      <x:c r="C1938" s="30" t="n">
        <x:v>1289679</x:v>
      </x:c>
      <x:c r="D1938" s="32" t="str">
        <x:v>Puerto Rican Emerald</x:v>
      </x:c>
      <x:c r="E1938" s="32" t="str">
        <x:v>Riccordia maugaeus</x:v>
      </x:c>
      <x:c r="F1938" s="30" t="str">
        <x:v>common</x:v>
      </x:c>
      <x:c r="G1938" s="30" t="str">
        <x:v>standard</x:v>
      </x:c>
      <x:c r="H1938" s="30" t="str">
        <x:v>year-round</x:v>
      </x:c>
      <x:c r="I19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39">
      <x:c r="A1939" s="36" t="str">
        <x:v>caribbean</x:v>
      </x:c>
      <x:c r="B1939" s="30" t="str">
        <x:v>caribbean-broad-draft-1</x:v>
      </x:c>
      <x:c r="C1939" s="30" t="n">
        <x:v>6864</x:v>
      </x:c>
      <x:c r="D1939" s="32" t="str">
        <x:v>Antillean Palm Swift</x:v>
      </x:c>
      <x:c r="E1939" s="32" t="str">
        <x:v>Tachornis phoenicobia</x:v>
      </x:c>
      <x:c r="F1939" s="30" t="str">
        <x:v>common</x:v>
      </x:c>
      <x:c r="G1939" s="30" t="str">
        <x:v>standard</x:v>
      </x:c>
      <x:c r="H1939" s="30" t="str">
        <x:v>year-round</x:v>
      </x:c>
      <x:c r="I19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0">
      <x:c r="A1940" s="36" t="str">
        <x:v>caribbean</x:v>
      </x:c>
      <x:c r="B1940" s="30" t="str">
        <x:v>caribbean-broad-draft-1</x:v>
      </x:c>
      <x:c r="C1940" s="30" t="n">
        <x:v>4981</x:v>
      </x:c>
      <x:c r="D1940" s="32" t="str">
        <x:v>Black-crowned Night Heron</x:v>
      </x:c>
      <x:c r="E1940" s="32" t="str">
        <x:v>Nycticorax nycticorax</x:v>
      </x:c>
      <x:c r="F1940" s="30" t="str">
        <x:v>common</x:v>
      </x:c>
      <x:c r="G1940" s="30" t="str">
        <x:v>standard</x:v>
      </x:c>
      <x:c r="H1940" s="30" t="str">
        <x:v>year-round</x:v>
      </x:c>
      <x:c r="I19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1">
      <x:c r="A1941" s="36" t="str">
        <x:v>caribbean</x:v>
      </x:c>
      <x:c r="B1941" s="30" t="str">
        <x:v>caribbean-broad-draft-1</x:v>
      </x:c>
      <x:c r="C1941" s="30" t="n">
        <x:v>4948</x:v>
      </x:c>
      <x:c r="D1941" s="32" t="str">
        <x:v>Reddish Egret</x:v>
      </x:c>
      <x:c r="E1941" s="32" t="str">
        <x:v>Egretta rufescens</x:v>
      </x:c>
      <x:c r="F1941" s="30" t="str">
        <x:v>common</x:v>
      </x:c>
      <x:c r="G1941" s="30" t="str">
        <x:v>standard</x:v>
      </x:c>
      <x:c r="H1941" s="30" t="str">
        <x:v>year-round</x:v>
      </x:c>
      <x:c r="I19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2">
      <x:c r="A1942" s="36" t="str">
        <x:v>caribbean</x:v>
      </x:c>
      <x:c r="B1942" s="30" t="str">
        <x:v>caribbean-broad-draft-1</x:v>
      </x:c>
      <x:c r="C1942" s="30" t="n">
        <x:v>72950</x:v>
      </x:c>
      <x:c r="D1942" s="32" t="str">
        <x:v>Cuban Oriole</x:v>
      </x:c>
      <x:c r="E1942" s="32" t="str">
        <x:v>Icterus melanopsis</x:v>
      </x:c>
      <x:c r="F1942" s="30" t="str">
        <x:v>common</x:v>
      </x:c>
      <x:c r="G1942" s="30" t="str">
        <x:v>standard</x:v>
      </x:c>
      <x:c r="H1942" s="30" t="str">
        <x:v>year-round</x:v>
      </x:c>
      <x:c r="I19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3">
      <x:c r="A1943" s="36" t="str">
        <x:v>caribbean</x:v>
      </x:c>
      <x:c r="B1943" s="30" t="str">
        <x:v>caribbean-broad-draft-1</x:v>
      </x:c>
      <x:c r="C1943" s="30" t="n">
        <x:v>793273</x:v>
      </x:c>
      <x:c r="D1943" s="32" t="str">
        <x:v>Puerto Rican Bullfinch</x:v>
      </x:c>
      <x:c r="E1943" s="32" t="str">
        <x:v>Melopyrrha portoricensis</x:v>
      </x:c>
      <x:c r="F1943" s="30" t="str">
        <x:v>common</x:v>
      </x:c>
      <x:c r="G1943" s="30" t="str">
        <x:v>standard</x:v>
      </x:c>
      <x:c r="H1943" s="30" t="str">
        <x:v>year-round</x:v>
      </x:c>
      <x:c r="I19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4">
      <x:c r="A1944" s="36" t="str">
        <x:v>caribbean</x:v>
      </x:c>
      <x:c r="B1944" s="30" t="str">
        <x:v>caribbean-broad-draft-1</x:v>
      </x:c>
      <x:c r="C1944" s="30" t="n">
        <x:v>6422</x:v>
      </x:c>
      <x:c r="D1944" s="32" t="str">
        <x:v>Vervain Hummingbird</x:v>
      </x:c>
      <x:c r="E1944" s="32" t="str">
        <x:v>Mellisuga minima</x:v>
      </x:c>
      <x:c r="F1944" s="30" t="str">
        <x:v>common</x:v>
      </x:c>
      <x:c r="G1944" s="30" t="str">
        <x:v>standard</x:v>
      </x:c>
      <x:c r="H1944" s="30" t="str">
        <x:v>year-round</x:v>
      </x:c>
      <x:c r="I19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5">
      <x:c r="A1945" s="36" t="str">
        <x:v>caribbean</x:v>
      </x:c>
      <x:c r="B1945" s="30" t="str">
        <x:v>caribbean-broad-draft-1</x:v>
      </x:c>
      <x:c r="C1945" s="30" t="n">
        <x:v>11855</x:v>
      </x:c>
      <x:c r="D1945" s="32" t="str">
        <x:v>Cave Swallow</x:v>
      </x:c>
      <x:c r="E1945" s="32" t="str">
        <x:v>Petrochelidon fulva</x:v>
      </x:c>
      <x:c r="F1945" s="30" t="str">
        <x:v>common</x:v>
      </x:c>
      <x:c r="G1945" s="30" t="str">
        <x:v>standard</x:v>
      </x:c>
      <x:c r="H1945" s="30" t="str">
        <x:v>year-round</x:v>
      </x:c>
      <x:c r="I19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6">
      <x:c r="A1946" s="36" t="str">
        <x:v>caribbean</x:v>
      </x:c>
      <x:c r="B1946" s="30" t="str">
        <x:v>caribbean-broad-draft-1</x:v>
      </x:c>
      <x:c r="C1946" s="30" t="n">
        <x:v>473</x:v>
      </x:c>
      <x:c r="D1946" s="32" t="str">
        <x:v>American Coot</x:v>
      </x:c>
      <x:c r="E1946" s="32" t="str">
        <x:v>Fulica americana</x:v>
      </x:c>
      <x:c r="F1946" s="30" t="str">
        <x:v>common</x:v>
      </x:c>
      <x:c r="G1946" s="30" t="str">
        <x:v>standard</x:v>
      </x:c>
      <x:c r="H1946" s="30" t="str">
        <x:v>year-round</x:v>
      </x:c>
      <x:c r="I19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7">
      <x:c r="A1947" s="36" t="str">
        <x:v>caribbean</x:v>
      </x:c>
      <x:c r="B1947" s="30" t="str">
        <x:v>caribbean-broad-draft-1</x:v>
      </x:c>
      <x:c r="C1947" s="30" t="n">
        <x:v>3892</x:v>
      </x:c>
      <x:c r="D1947" s="32" t="str">
        <x:v>Greater Yellowlegs</x:v>
      </x:c>
      <x:c r="E1947" s="32" t="str">
        <x:v>Tringa melanoleuca</x:v>
      </x:c>
      <x:c r="F1947" s="30" t="str">
        <x:v>common</x:v>
      </x:c>
      <x:c r="G1947" s="30" t="str">
        <x:v>standard</x:v>
      </x:c>
      <x:c r="H1947" s="30" t="str">
        <x:v>year-round</x:v>
      </x:c>
      <x:c r="I19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8">
      <x:c r="A1948" s="36" t="str">
        <x:v>caribbean</x:v>
      </x:c>
      <x:c r="B1948" s="30" t="str">
        <x:v>caribbean-broad-draft-1</x:v>
      </x:c>
      <x:c r="C1948" s="30" t="n">
        <x:v>367575</x:v>
      </x:c>
      <x:c r="D1948" s="32" t="str">
        <x:v>Hispaniolan Parakeet</x:v>
      </x:c>
      <x:c r="E1948" s="32" t="str">
        <x:v>Psittacara chloropterus</x:v>
      </x:c>
      <x:c r="F1948" s="30" t="str">
        <x:v>common</x:v>
      </x:c>
      <x:c r="G1948" s="30" t="str">
        <x:v>standard</x:v>
      </x:c>
      <x:c r="H1948" s="30" t="str">
        <x:v>year-round</x:v>
      </x:c>
      <x:c r="I19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49">
      <x:c r="A1949" s="36" t="str">
        <x:v>caribbean</x:v>
      </x:c>
      <x:c r="B1949" s="30" t="str">
        <x:v>caribbean-broad-draft-1</x:v>
      </x:c>
      <x:c r="C1949" s="30" t="n">
        <x:v>62550</x:v>
      </x:c>
      <x:c r="D1949" s="32" t="str">
        <x:v>Ovenbird</x:v>
      </x:c>
      <x:c r="E1949" s="32" t="str">
        <x:v>Seiurus aurocapilla</x:v>
      </x:c>
      <x:c r="F1949" s="30" t="str">
        <x:v>common</x:v>
      </x:c>
      <x:c r="G1949" s="30" t="str">
        <x:v>standard</x:v>
      </x:c>
      <x:c r="H1949" s="30" t="str">
        <x:v>year-round</x:v>
      </x:c>
      <x:c r="I19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0">
      <x:c r="A1950" s="36" t="str">
        <x:v>caribbean</x:v>
      </x:c>
      <x:c r="B1950" s="30" t="str">
        <x:v>caribbean-broad-draft-1</x:v>
      </x:c>
      <x:c r="C1950" s="30" t="n">
        <x:v>558433</x:v>
      </x:c>
      <x:c r="D1950" s="32" t="str">
        <x:v>Blue-winged Teal</x:v>
      </x:c>
      <x:c r="E1950" s="32" t="str">
        <x:v>Spatula discors</x:v>
      </x:c>
      <x:c r="F1950" s="30" t="str">
        <x:v>common</x:v>
      </x:c>
      <x:c r="G1950" s="30" t="str">
        <x:v>standard</x:v>
      </x:c>
      <x:c r="H1950" s="30" t="str">
        <x:v>year-round</x:v>
      </x:c>
      <x:c r="I19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1">
      <x:c r="A1951" s="36" t="str">
        <x:v>caribbean</x:v>
      </x:c>
      <x:c r="B1951" s="30" t="str">
        <x:v>caribbean-broad-draft-1</x:v>
      </x:c>
      <x:c r="C1951" s="30" t="n">
        <x:v>19809</x:v>
      </x:c>
      <x:c r="D1951" s="32" t="str">
        <x:v>Cuban Pygmy-Owl</x:v>
      </x:c>
      <x:c r="E1951" s="32" t="str">
        <x:v>Glaucidium siju</x:v>
      </x:c>
      <x:c r="F1951" s="30" t="str">
        <x:v>common</x:v>
      </x:c>
      <x:c r="G1951" s="30" t="str">
        <x:v>standard</x:v>
      </x:c>
      <x:c r="H1951" s="30" t="str">
        <x:v>year-round</x:v>
      </x:c>
      <x:c r="I19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2">
      <x:c r="A1952" s="36" t="str">
        <x:v>caribbean</x:v>
      </x:c>
      <x:c r="B1952" s="30" t="str">
        <x:v>caribbean-broad-draft-1</x:v>
      </x:c>
      <x:c r="C1952" s="30" t="n">
        <x:v>18159</x:v>
      </x:c>
      <x:c r="D1952" s="32" t="str">
        <x:v>Jamaican Woodpecker</x:v>
      </x:c>
      <x:c r="E1952" s="32" t="str">
        <x:v>Melanerpes radiolatus</x:v>
      </x:c>
      <x:c r="F1952" s="30" t="str">
        <x:v>common</x:v>
      </x:c>
      <x:c r="G1952" s="30" t="str">
        <x:v>standard</x:v>
      </x:c>
      <x:c r="H1952" s="30" t="str">
        <x:v>year-round</x:v>
      </x:c>
      <x:c r="I19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3">
      <x:c r="A1953" s="36" t="str">
        <x:v>caribbean</x:v>
      </x:c>
      <x:c r="B1953" s="30" t="str">
        <x:v>caribbean-broad-draft-1</x:v>
      </x:c>
      <x:c r="C1953" s="30" t="n">
        <x:v>979880</x:v>
      </x:c>
      <x:c r="D1953" s="32" t="str">
        <x:v>Bahama Woodstar</x:v>
      </x:c>
      <x:c r="E1953" s="32" t="str">
        <x:v>Nesophlox evelynae</x:v>
      </x:c>
      <x:c r="F1953" s="30" t="str">
        <x:v>common</x:v>
      </x:c>
      <x:c r="G1953" s="30" t="str">
        <x:v>standard</x:v>
      </x:c>
      <x:c r="H1953" s="30" t="str">
        <x:v>year-round</x:v>
      </x:c>
      <x:c r="I19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4">
      <x:c r="A1954" s="36" t="str">
        <x:v>caribbean</x:v>
      </x:c>
      <x:c r="B1954" s="30" t="str">
        <x:v>caribbean-broad-draft-1</x:v>
      </x:c>
      <x:c r="C1954" s="30" t="n">
        <x:v>72578</x:v>
      </x:c>
      <x:c r="D1954" s="32" t="str">
        <x:v>Cuban Black Hawk</x:v>
      </x:c>
      <x:c r="E1954" s="32" t="str">
        <x:v>Buteogallus gundlachii</x:v>
      </x:c>
      <x:c r="F1954" s="30" t="str">
        <x:v>common</x:v>
      </x:c>
      <x:c r="G1954" s="30" t="str">
        <x:v>standard</x:v>
      </x:c>
      <x:c r="H1954" s="30" t="str">
        <x:v>year-round</x:v>
      </x:c>
      <x:c r="I19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5">
      <x:c r="A1955" s="36" t="str">
        <x:v>caribbean</x:v>
      </x:c>
      <x:c r="B1955" s="30" t="str">
        <x:v>caribbean-broad-draft-1</x:v>
      </x:c>
      <x:c r="C1955" s="30" t="n">
        <x:v>13780</x:v>
      </x:c>
      <x:c r="D1955" s="32" t="str">
        <x:v>Orange-cheeked Waxbill</x:v>
      </x:c>
      <x:c r="E1955" s="32" t="str">
        <x:v>Estrilda melpoda</x:v>
      </x:c>
      <x:c r="F1955" s="30" t="str">
        <x:v>common</x:v>
      </x:c>
      <x:c r="G1955" s="30" t="str">
        <x:v>standard</x:v>
      </x:c>
      <x:c r="H1955" s="30" t="str">
        <x:v>year-round</x:v>
      </x:c>
      <x:c r="I19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6">
      <x:c r="A1956" s="36" t="str">
        <x:v>caribbean</x:v>
      </x:c>
      <x:c r="B1956" s="30" t="str">
        <x:v>caribbean-broad-draft-1</x:v>
      </x:c>
      <x:c r="C1956" s="30" t="n">
        <x:v>72742</x:v>
      </x:c>
      <x:c r="D1956" s="32" t="str">
        <x:v>Hispaniolan Lizard-Cuckoo</x:v>
      </x:c>
      <x:c r="E1956" s="32" t="str">
        <x:v>Coccyzus longirostris</x:v>
      </x:c>
      <x:c r="F1956" s="30" t="str">
        <x:v>common</x:v>
      </x:c>
      <x:c r="G1956" s="30" t="str">
        <x:v>standard</x:v>
      </x:c>
      <x:c r="H1956" s="30" t="str">
        <x:v>year-round</x:v>
      </x:c>
      <x:c r="I19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7">
      <x:c r="A1957" s="36" t="str">
        <x:v>caribbean</x:v>
      </x:c>
      <x:c r="B1957" s="30" t="str">
        <x:v>caribbean-broad-draft-1</x:v>
      </x:c>
      <x:c r="C1957" s="30" t="n">
        <x:v>9929</x:v>
      </x:c>
      <x:c r="D1957" s="32" t="str">
        <x:v>Puerto Rican Tanager</x:v>
      </x:c>
      <x:c r="E1957" s="32" t="str">
        <x:v>Nesospingus speculiferus</x:v>
      </x:c>
      <x:c r="F1957" s="30" t="str">
        <x:v>common</x:v>
      </x:c>
      <x:c r="G1957" s="30" t="str">
        <x:v>standard</x:v>
      </x:c>
      <x:c r="H1957" s="30" t="str">
        <x:v>year-round</x:v>
      </x:c>
      <x:c r="I19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8">
      <x:c r="A1958" s="36" t="str">
        <x:v>caribbean</x:v>
      </x:c>
      <x:c r="B1958" s="30" t="str">
        <x:v>caribbean-broad-draft-1</x:v>
      </x:c>
      <x:c r="C1958" s="30" t="n">
        <x:v>4239</x:v>
      </x:c>
      <x:c r="D1958" s="32" t="str">
        <x:v>Least Grebe</x:v>
      </x:c>
      <x:c r="E1958" s="32" t="str">
        <x:v>Tachybaptus dominicus</x:v>
      </x:c>
      <x:c r="F1958" s="30" t="str">
        <x:v>common</x:v>
      </x:c>
      <x:c r="G1958" s="30" t="str">
        <x:v>standard</x:v>
      </x:c>
      <x:c r="H1958" s="30" t="str">
        <x:v>year-round</x:v>
      </x:c>
      <x:c r="I19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59">
      <x:c r="A1959" s="36" t="str">
        <x:v>caribbean</x:v>
      </x:c>
      <x:c r="B1959" s="30" t="str">
        <x:v>caribbean-broad-draft-1</x:v>
      </x:c>
      <x:c r="C1959" s="30" t="n">
        <x:v>9864</x:v>
      </x:c>
      <x:c r="D1959" s="32" t="str">
        <x:v>Saffron Finch</x:v>
      </x:c>
      <x:c r="E1959" s="32" t="str">
        <x:v>Sicalis flaveola</x:v>
      </x:c>
      <x:c r="F1959" s="30" t="str">
        <x:v>common</x:v>
      </x:c>
      <x:c r="G1959" s="30" t="str">
        <x:v>standard</x:v>
      </x:c>
      <x:c r="H1959" s="30" t="str">
        <x:v>year-round</x:v>
      </x:c>
      <x:c r="I19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0">
      <x:c r="A1960" s="36" t="str">
        <x:v>caribbean</x:v>
      </x:c>
      <x:c r="B1960" s="30" t="str">
        <x:v>caribbean-broad-draft-1</x:v>
      </x:c>
      <x:c r="C1960" s="30" t="n">
        <x:v>3862</x:v>
      </x:c>
      <x:c r="D1960" s="32" t="str">
        <x:v>Semipalmated Sandpiper</x:v>
      </x:c>
      <x:c r="E1960" s="32" t="str">
        <x:v>Calidris pusilla</x:v>
      </x:c>
      <x:c r="F1960" s="30" t="str">
        <x:v>common</x:v>
      </x:c>
      <x:c r="G1960" s="30" t="str">
        <x:v>standard</x:v>
      </x:c>
      <x:c r="H1960" s="30" t="str">
        <x:v>year-round</x:v>
      </x:c>
      <x:c r="I19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1">
      <x:c r="A1961" s="36" t="str">
        <x:v>caribbean</x:v>
      </x:c>
      <x:c r="B1961" s="30" t="str">
        <x:v>caribbean-broad-draft-1</x:v>
      </x:c>
      <x:c r="C1961" s="30" t="n">
        <x:v>18983</x:v>
      </x:c>
      <x:c r="D1961" s="32" t="str">
        <x:v>Hispaniolan Amazon</x:v>
      </x:c>
      <x:c r="E1961" s="32" t="str">
        <x:v>Amazona ventralis</x:v>
      </x:c>
      <x:c r="F1961" s="30" t="str">
        <x:v>common</x:v>
      </x:c>
      <x:c r="G1961" s="30" t="str">
        <x:v>standard</x:v>
      </x:c>
      <x:c r="H1961" s="30" t="str">
        <x:v>year-round</x:v>
      </x:c>
      <x:c r="I19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2">
      <x:c r="A1962" s="36" t="str">
        <x:v>caribbean</x:v>
      </x:c>
      <x:c r="B1962" s="30" t="str">
        <x:v>caribbean-broad-draft-1</x:v>
      </x:c>
      <x:c r="C1962" s="30" t="n">
        <x:v>144530</x:v>
      </x:c>
      <x:c r="D1962" s="32" t="str">
        <x:v>Least Tern</x:v>
      </x:c>
      <x:c r="E1962" s="32" t="str">
        <x:v>Sternula antillarum</x:v>
      </x:c>
      <x:c r="F1962" s="30" t="str">
        <x:v>common</x:v>
      </x:c>
      <x:c r="G1962" s="30" t="str">
        <x:v>standard</x:v>
      </x:c>
      <x:c r="H1962" s="30" t="str">
        <x:v>year-round</x:v>
      </x:c>
      <x:c r="I19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3">
      <x:c r="A1963" s="36" t="str">
        <x:v>caribbean</x:v>
      </x:c>
      <x:c r="B1963" s="30" t="str">
        <x:v>caribbean-broad-draft-1</x:v>
      </x:c>
      <x:c r="C1963" s="30" t="n">
        <x:v>8033</x:v>
      </x:c>
      <x:c r="D1963" s="32" t="str">
        <x:v>White-necked Crow</x:v>
      </x:c>
      <x:c r="E1963" s="32" t="str">
        <x:v>Corvus leucognaphalus</x:v>
      </x:c>
      <x:c r="F1963" s="30" t="str">
        <x:v>common</x:v>
      </x:c>
      <x:c r="G1963" s="30" t="str">
        <x:v>standard</x:v>
      </x:c>
      <x:c r="H1963" s="30" t="str">
        <x:v>year-round</x:v>
      </x:c>
      <x:c r="I19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4">
      <x:c r="A1964" s="36" t="str">
        <x:v>caribbean</x:v>
      </x:c>
      <x:c r="B1964" s="30" t="str">
        <x:v>caribbean-broad-draft-1</x:v>
      </x:c>
      <x:c r="C1964" s="30" t="n">
        <x:v>144491</x:v>
      </x:c>
      <x:c r="D1964" s="32" t="str">
        <x:v>Willet</x:v>
      </x:c>
      <x:c r="E1964" s="32" t="str">
        <x:v>Tringa semipalmata</x:v>
      </x:c>
      <x:c r="F1964" s="30" t="str">
        <x:v>common</x:v>
      </x:c>
      <x:c r="G1964" s="30" t="str">
        <x:v>standard</x:v>
      </x:c>
      <x:c r="H1964" s="30" t="str">
        <x:v>year-round</x:v>
      </x:c>
      <x:c r="I19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5">
      <x:c r="A1965" s="36" t="str">
        <x:v>caribbean</x:v>
      </x:c>
      <x:c r="B1965" s="30" t="str">
        <x:v>caribbean-broad-draft-1</x:v>
      </x:c>
      <x:c r="C1965" s="30" t="n">
        <x:v>9721</x:v>
      </x:c>
      <x:c r="D1965" s="32" t="str">
        <x:v>Common Yellowthroat</x:v>
      </x:c>
      <x:c r="E1965" s="32" t="str">
        <x:v>Geothlypis trichas</x:v>
      </x:c>
      <x:c r="F1965" s="30" t="str">
        <x:v>common</x:v>
      </x:c>
      <x:c r="G1965" s="30" t="str">
        <x:v>standard</x:v>
      </x:c>
      <x:c r="H1965" s="30" t="str">
        <x:v>year-round</x:v>
      </x:c>
      <x:c r="I19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6">
      <x:c r="A1966" s="36" t="str">
        <x:v>caribbean</x:v>
      </x:c>
      <x:c r="B1966" s="30" t="str">
        <x:v>caribbean-broad-draft-1</x:v>
      </x:c>
      <x:c r="C1966" s="30" t="n">
        <x:v>979799</x:v>
      </x:c>
      <x:c r="D1966" s="32" t="str">
        <x:v>Cuban Grassquit</x:v>
      </x:c>
      <x:c r="E1966" s="32" t="str">
        <x:v>Phonipara canora</x:v>
      </x:c>
      <x:c r="F1966" s="30" t="str">
        <x:v>common</x:v>
      </x:c>
      <x:c r="G1966" s="30" t="str">
        <x:v>standard</x:v>
      </x:c>
      <x:c r="H1966" s="30" t="str">
        <x:v>year-round</x:v>
      </x:c>
      <x:c r="I19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7">
      <x:c r="A1967" s="36" t="str">
        <x:v>caribbean</x:v>
      </x:c>
      <x:c r="B1967" s="30" t="str">
        <x:v>caribbean-broad-draft-1</x:v>
      </x:c>
      <x:c r="C1967" s="30" t="n">
        <x:v>9849</x:v>
      </x:c>
      <x:c r="D1967" s="32" t="str">
        <x:v>Lesser Antillean Saltator</x:v>
      </x:c>
      <x:c r="E1967" s="32" t="str">
        <x:v>Saltator albicollis</x:v>
      </x:c>
      <x:c r="F1967" s="30" t="str">
        <x:v>common</x:v>
      </x:c>
      <x:c r="G1967" s="30" t="str">
        <x:v>standard</x:v>
      </x:c>
      <x:c r="H1967" s="30" t="str">
        <x:v>year-round</x:v>
      </x:c>
      <x:c r="I19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8">
      <x:c r="A1968" s="36" t="str">
        <x:v>caribbean</x:v>
      </x:c>
      <x:c r="B1968" s="30" t="str">
        <x:v>caribbean-broad-draft-1</x:v>
      </x:c>
      <x:c r="C1968" s="30" t="n">
        <x:v>2548</x:v>
      </x:c>
      <x:c r="D1968" s="32" t="str">
        <x:v>Belted Kingfisher</x:v>
      </x:c>
      <x:c r="E1968" s="32" t="str">
        <x:v>Megaceryle alcyon</x:v>
      </x:c>
      <x:c r="F1968" s="30" t="str">
        <x:v>common</x:v>
      </x:c>
      <x:c r="G1968" s="30" t="str">
        <x:v>standard</x:v>
      </x:c>
      <x:c r="H1968" s="30" t="str">
        <x:v>year-round</x:v>
      </x:c>
      <x:c r="I19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69">
      <x:c r="A1969" s="36" t="str">
        <x:v>caribbean</x:v>
      </x:c>
      <x:c r="B1969" s="30" t="str">
        <x:v>caribbean-broad-draft-1</x:v>
      </x:c>
      <x:c r="C1969" s="30" t="n">
        <x:v>73149</x:v>
      </x:c>
      <x:c r="D1969" s="32" t="str">
        <x:v>Northern Waterthrush</x:v>
      </x:c>
      <x:c r="E1969" s="32" t="str">
        <x:v>Parkesia noveboracensis</x:v>
      </x:c>
      <x:c r="F1969" s="30" t="str">
        <x:v>common</x:v>
      </x:c>
      <x:c r="G1969" s="30" t="str">
        <x:v>standard</x:v>
      </x:c>
      <x:c r="H1969" s="30" t="str">
        <x:v>year-round</x:v>
      </x:c>
      <x:c r="I19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0">
      <x:c r="A1970" s="36" t="str">
        <x:v>caribbean</x:v>
      </x:c>
      <x:c r="B1970" s="30" t="str">
        <x:v>caribbean-broad-draft-1</x:v>
      </x:c>
      <x:c r="C1970" s="30" t="n">
        <x:v>367700</x:v>
      </x:c>
      <x:c r="D1970" s="32" t="str">
        <x:v>Bronze Mannikin</x:v>
      </x:c>
      <x:c r="E1970" s="32" t="str">
        <x:v>Spermestes cucullata</x:v>
      </x:c>
      <x:c r="F1970" s="30" t="str">
        <x:v>common</x:v>
      </x:c>
      <x:c r="G1970" s="30" t="str">
        <x:v>standard</x:v>
      </x:c>
      <x:c r="H1970" s="30" t="str">
        <x:v>year-round</x:v>
      </x:c>
      <x:c r="I19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1">
      <x:c r="A1971" s="36" t="str">
        <x:v>caribbean</x:v>
      </x:c>
      <x:c r="B1971" s="30" t="str">
        <x:v>caribbean-broad-draft-1</x:v>
      </x:c>
      <x:c r="C1971" s="30" t="n">
        <x:v>10266</x:v>
      </x:c>
      <x:c r="D1971" s="32" t="str">
        <x:v>Cuban Bullfinch</x:v>
      </x:c>
      <x:c r="E1971" s="32" t="str">
        <x:v>Melopyrrha nigra</x:v>
      </x:c>
      <x:c r="F1971" s="30" t="str">
        <x:v>common</x:v>
      </x:c>
      <x:c r="G1971" s="30" t="str">
        <x:v>standard</x:v>
      </x:c>
      <x:c r="H1971" s="30" t="str">
        <x:v>year-round</x:v>
      </x:c>
      <x:c r="I19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2">
      <x:c r="A1972" s="36" t="str">
        <x:v>caribbean</x:v>
      </x:c>
      <x:c r="B1972" s="30" t="str">
        <x:v>caribbean-broad-draft-1</x:v>
      </x:c>
      <x:c r="C1972" s="30" t="n">
        <x:v>12777</x:v>
      </x:c>
      <x:c r="D1972" s="32" t="str">
        <x:v>White-chinned Thrush</x:v>
      </x:c>
      <x:c r="E1972" s="32" t="str">
        <x:v>Turdus aurantius</x:v>
      </x:c>
      <x:c r="F1972" s="30" t="str">
        <x:v>common</x:v>
      </x:c>
      <x:c r="G1972" s="30" t="str">
        <x:v>standard</x:v>
      </x:c>
      <x:c r="H1972" s="30" t="str">
        <x:v>year-round</x:v>
      </x:c>
      <x:c r="I19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3">
      <x:c r="A1973" s="36" t="str">
        <x:v>caribbean</x:v>
      </x:c>
      <x:c r="B1973" s="30" t="str">
        <x:v>caribbean-broad-draft-1</x:v>
      </x:c>
      <x:c r="C1973" s="30" t="n">
        <x:v>3850</x:v>
      </x:c>
      <x:c r="D1973" s="32" t="str">
        <x:v>Stilt Sandpiper</x:v>
      </x:c>
      <x:c r="E1973" s="32" t="str">
        <x:v>Calidris himantopus</x:v>
      </x:c>
      <x:c r="F1973" s="30" t="str">
        <x:v>common</x:v>
      </x:c>
      <x:c r="G1973" s="30" t="str">
        <x:v>standard</x:v>
      </x:c>
      <x:c r="H1973" s="30" t="str">
        <x:v>year-round</x:v>
      </x:c>
      <x:c r="I19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4">
      <x:c r="A1974" s="36" t="str">
        <x:v>caribbean</x:v>
      </x:c>
      <x:c r="B1974" s="30" t="str">
        <x:v>caribbean-broad-draft-1</x:v>
      </x:c>
      <x:c r="C1974" s="30" t="n">
        <x:v>793274</x:v>
      </x:c>
      <x:c r="D1974" s="32" t="str">
        <x:v>Greater Antillean Bullfinch</x:v>
      </x:c>
      <x:c r="E1974" s="32" t="str">
        <x:v>Melopyrrha violacea</x:v>
      </x:c>
      <x:c r="F1974" s="30" t="str">
        <x:v>common</x:v>
      </x:c>
      <x:c r="G1974" s="30" t="str">
        <x:v>standard</x:v>
      </x:c>
      <x:c r="H1974" s="30" t="str">
        <x:v>year-round</x:v>
      </x:c>
      <x:c r="I19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5">
      <x:c r="A1975" s="36" t="str">
        <x:v>caribbean</x:v>
      </x:c>
      <x:c r="B1975" s="30" t="str">
        <x:v>caribbean-broad-draft-1</x:v>
      </x:c>
      <x:c r="C1975" s="30" t="n">
        <x:v>4314</x:v>
      </x:c>
      <x:c r="D1975" s="32" t="str">
        <x:v>White-tailed Tropicbird</x:v>
      </x:c>
      <x:c r="E1975" s="32" t="str">
        <x:v>Phaethon lepturus</x:v>
      </x:c>
      <x:c r="F1975" s="30" t="str">
        <x:v>common</x:v>
      </x:c>
      <x:c r="G1975" s="30" t="str">
        <x:v>standard</x:v>
      </x:c>
      <x:c r="H1975" s="30" t="str">
        <x:v>year-round</x:v>
      </x:c>
      <x:c r="I19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6">
      <x:c r="A1976" s="36" t="str">
        <x:v>caribbean</x:v>
      </x:c>
      <x:c r="B1976" s="30" t="str">
        <x:v>caribbean-broad-draft-1</x:v>
      </x:c>
      <x:c r="C1976" s="30" t="n">
        <x:v>19210</x:v>
      </x:c>
      <x:c r="D1976" s="32" t="str">
        <x:v>White-winged Parakeet</x:v>
      </x:c>
      <x:c r="E1976" s="32" t="str">
        <x:v>Brotogeris versicolurus</x:v>
      </x:c>
      <x:c r="F1976" s="30" t="str">
        <x:v>common</x:v>
      </x:c>
      <x:c r="G1976" s="30" t="str">
        <x:v>standard</x:v>
      </x:c>
      <x:c r="H1976" s="30" t="str">
        <x:v>year-round</x:v>
      </x:c>
      <x:c r="I19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7">
      <x:c r="A1977" s="36" t="str">
        <x:v>caribbean</x:v>
      </x:c>
      <x:c r="B1977" s="30" t="str">
        <x:v>caribbean-broad-draft-1</x:v>
      </x:c>
      <x:c r="C1977" s="30" t="n">
        <x:v>18463</x:v>
      </x:c>
      <x:c r="D1977" s="32" t="str">
        <x:v>Yellow-bellied Sapsucker</x:v>
      </x:c>
      <x:c r="E1977" s="32" t="str">
        <x:v>Sphyrapicus varius</x:v>
      </x:c>
      <x:c r="F1977" s="30" t="str">
        <x:v>common</x:v>
      </x:c>
      <x:c r="G1977" s="30" t="str">
        <x:v>standard</x:v>
      </x:c>
      <x:c r="H1977" s="30" t="str">
        <x:v>year-round</x:v>
      </x:c>
      <x:c r="I19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8">
      <x:c r="A1978" s="36" t="str">
        <x:v>caribbean</x:v>
      </x:c>
      <x:c r="B1978" s="30" t="str">
        <x:v>caribbean-broad-draft-1</x:v>
      </x:c>
      <x:c r="C1978" s="30" t="n">
        <x:v>145090</x:v>
      </x:c>
      <x:c r="D1978" s="32" t="str">
        <x:v>Scaly-breasted Thrasher</x:v>
      </x:c>
      <x:c r="E1978" s="32" t="str">
        <x:v>Allenia fusca</x:v>
      </x:c>
      <x:c r="F1978" s="30" t="str">
        <x:v>common</x:v>
      </x:c>
      <x:c r="G1978" s="30" t="str">
        <x:v>standard</x:v>
      </x:c>
      <x:c r="H1978" s="30" t="str">
        <x:v>year-round</x:v>
      </x:c>
      <x:c r="I19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79">
      <x:c r="A1979" s="36" t="str">
        <x:v>caribbean</x:v>
      </x:c>
      <x:c r="B1979" s="30" t="str">
        <x:v>caribbean-broad-draft-1</x:v>
      </x:c>
      <x:c r="C1979" s="30" t="n">
        <x:v>519</x:v>
      </x:c>
      <x:c r="D1979" s="32" t="str">
        <x:v>Purple Gallinule</x:v>
      </x:c>
      <x:c r="E1979" s="32" t="str">
        <x:v>Porphyrio martinica</x:v>
      </x:c>
      <x:c r="F1979" s="30" t="str">
        <x:v>common</x:v>
      </x:c>
      <x:c r="G1979" s="30" t="str">
        <x:v>standard</x:v>
      </x:c>
      <x:c r="H1979" s="30" t="str">
        <x:v>year-round</x:v>
      </x:c>
      <x:c r="I19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0">
      <x:c r="A1980" s="36" t="str">
        <x:v>caribbean</x:v>
      </x:c>
      <x:c r="B1980" s="30" t="str">
        <x:v>caribbean-broad-draft-1</x:v>
      </x:c>
      <x:c r="C1980" s="30" t="n">
        <x:v>17384</x:v>
      </x:c>
      <x:c r="D1980" s="32" t="str">
        <x:v>Puerto Rican Vireo</x:v>
      </x:c>
      <x:c r="E1980" s="32" t="str">
        <x:v>Vireo latimeri</x:v>
      </x:c>
      <x:c r="F1980" s="30" t="str">
        <x:v>common</x:v>
      </x:c>
      <x:c r="G1980" s="30" t="str">
        <x:v>standard</x:v>
      </x:c>
      <x:c r="H1980" s="30" t="str">
        <x:v>year-round</x:v>
      </x:c>
      <x:c r="I19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1">
      <x:c r="A1981" s="36" t="str">
        <x:v>caribbean</x:v>
      </x:c>
      <x:c r="B1981" s="30" t="str">
        <x:v>caribbean-broad-draft-1</x:v>
      </x:c>
      <x:c r="C1981" s="30" t="n">
        <x:v>1204</x:v>
      </x:c>
      <x:c r="D1981" s="32" t="str">
        <x:v>Indian Peafowl</x:v>
      </x:c>
      <x:c r="E1981" s="32" t="str">
        <x:v>Pavo cristatus</x:v>
      </x:c>
      <x:c r="F1981" s="30" t="str">
        <x:v>common</x:v>
      </x:c>
      <x:c r="G1981" s="30" t="str">
        <x:v>standard</x:v>
      </x:c>
      <x:c r="H1981" s="30" t="str">
        <x:v>year-round</x:v>
      </x:c>
      <x:c r="I19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2">
      <x:c r="A1982" s="36" t="str">
        <x:v>caribbean</x:v>
      </x:c>
      <x:c r="B1982" s="30" t="str">
        <x:v>caribbean-broad-draft-1</x:v>
      </x:c>
      <x:c r="C1982" s="30" t="n">
        <x:v>19018</x:v>
      </x:c>
      <x:c r="D1982" s="32" t="str">
        <x:v>Blue-and-yellow Macaw</x:v>
      </x:c>
      <x:c r="E1982" s="32" t="str">
        <x:v>Ara ararauna</x:v>
      </x:c>
      <x:c r="F1982" s="30" t="str">
        <x:v>common</x:v>
      </x:c>
      <x:c r="G1982" s="30" t="str">
        <x:v>standard</x:v>
      </x:c>
      <x:c r="H1982" s="30" t="str">
        <x:v>year-round</x:v>
      </x:c>
      <x:c r="I19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3">
      <x:c r="A1983" s="36" t="str">
        <x:v>caribbean</x:v>
      </x:c>
      <x:c r="B1983" s="30" t="str">
        <x:v>caribbean-broad-draft-1</x:v>
      </x:c>
      <x:c r="C1983" s="30" t="n">
        <x:v>4672</x:v>
      </x:c>
      <x:c r="D1983" s="32" t="str">
        <x:v>Merlin</x:v>
      </x:c>
      <x:c r="E1983" s="32" t="str">
        <x:v>Falco columbarius</x:v>
      </x:c>
      <x:c r="F1983" s="30" t="str">
        <x:v>common</x:v>
      </x:c>
      <x:c r="G1983" s="30" t="str">
        <x:v>standard</x:v>
      </x:c>
      <x:c r="H1983" s="30" t="str">
        <x:v>year-round</x:v>
      </x:c>
      <x:c r="I19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4">
      <x:c r="A1984" s="36" t="str">
        <x:v>caribbean</x:v>
      </x:c>
      <x:c r="B1984" s="30" t="str">
        <x:v>caribbean-broad-draft-1</x:v>
      </x:c>
      <x:c r="C1984" s="30" t="n">
        <x:v>4246</x:v>
      </x:c>
      <x:c r="D1984" s="32" t="str">
        <x:v>Pied-billed Grebe</x:v>
      </x:c>
      <x:c r="E1984" s="32" t="str">
        <x:v>Podilymbus podiceps</x:v>
      </x:c>
      <x:c r="F1984" s="30" t="str">
        <x:v>common</x:v>
      </x:c>
      <x:c r="G1984" s="30" t="str">
        <x:v>standard</x:v>
      </x:c>
      <x:c r="H1984" s="30" t="str">
        <x:v>year-round</x:v>
      </x:c>
      <x:c r="I19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5">
      <x:c r="A1985" s="36" t="str">
        <x:v>caribbean</x:v>
      </x:c>
      <x:c r="B1985" s="30" t="str">
        <x:v>caribbean-broad-draft-1</x:v>
      </x:c>
      <x:c r="C1985" s="30" t="n">
        <x:v>9335</x:v>
      </x:c>
      <x:c r="D1985" s="32" t="str">
        <x:v>Jamaican Oriole</x:v>
      </x:c>
      <x:c r="E1985" s="32" t="str">
        <x:v>Icterus leucopteryx</x:v>
      </x:c>
      <x:c r="F1985" s="30" t="str">
        <x:v>common</x:v>
      </x:c>
      <x:c r="G1985" s="30" t="str">
        <x:v>standard</x:v>
      </x:c>
      <x:c r="H1985" s="30" t="str">
        <x:v>year-round</x:v>
      </x:c>
      <x:c r="I19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6">
      <x:c r="A1986" s="36" t="str">
        <x:v>caribbean</x:v>
      </x:c>
      <x:c r="B1986" s="30" t="str">
        <x:v>caribbean-broad-draft-1</x:v>
      </x:c>
      <x:c r="C1986" s="30" t="n">
        <x:v>4381</x:v>
      </x:c>
      <x:c r="D1986" s="32" t="str">
        <x:v>Lesser Black-backed Gull</x:v>
      </x:c>
      <x:c r="E1986" s="32" t="str">
        <x:v>Larus fuscus</x:v>
      </x:c>
      <x:c r="F1986" s="30" t="str">
        <x:v>common</x:v>
      </x:c>
      <x:c r="G1986" s="30" t="str">
        <x:v>standard</x:v>
      </x:c>
      <x:c r="H1986" s="30" t="str">
        <x:v>year-round</x:v>
      </x:c>
      <x:c r="I19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7">
      <x:c r="A1987" s="36" t="str">
        <x:v>caribbean</x:v>
      </x:c>
      <x:c r="B1987" s="30" t="str">
        <x:v>caribbean-broad-draft-1</x:v>
      </x:c>
      <x:c r="C1987" s="30" t="n">
        <x:v>1289601</x:v>
      </x:c>
      <x:c r="D1987" s="32" t="str">
        <x:v>Neotropic Cormorant</x:v>
      </x:c>
      <x:c r="E1987" s="32" t="str">
        <x:v>Nannopterum brasilianum</x:v>
      </x:c>
      <x:c r="F1987" s="30" t="str">
        <x:v>common</x:v>
      </x:c>
      <x:c r="G1987" s="30" t="str">
        <x:v>standard</x:v>
      </x:c>
      <x:c r="H1987" s="30" t="str">
        <x:v>year-round</x:v>
      </x:c>
      <x:c r="I19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8">
      <x:c r="A1988" s="36" t="str">
        <x:v>caribbean</x:v>
      </x:c>
      <x:c r="B1988" s="30" t="str">
        <x:v>caribbean-broad-draft-1</x:v>
      </x:c>
      <x:c r="C1988" s="30" t="n">
        <x:v>14880</x:v>
      </x:c>
      <x:c r="D1988" s="32" t="str">
        <x:v>Bahama Mockingbird</x:v>
      </x:c>
      <x:c r="E1988" s="32" t="str">
        <x:v>Mimus gundlachii</x:v>
      </x:c>
      <x:c r="F1988" s="30" t="str">
        <x:v>common</x:v>
      </x:c>
      <x:c r="G1988" s="30" t="str">
        <x:v>standard</x:v>
      </x:c>
      <x:c r="H1988" s="30" t="str">
        <x:v>year-round</x:v>
      </x:c>
      <x:c r="I19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89">
      <x:c r="A1989" s="36" t="str">
        <x:v>caribbean</x:v>
      </x:c>
      <x:c r="B1989" s="30" t="str">
        <x:v>caribbean-broad-draft-1</x:v>
      </x:c>
      <x:c r="C1989" s="30" t="n">
        <x:v>2966</x:v>
      </x:c>
      <x:c r="D1989" s="32" t="str">
        <x:v>African Collared-Dove</x:v>
      </x:c>
      <x:c r="E1989" s="32" t="str">
        <x:v>Streptopelia roseogrisea</x:v>
      </x:c>
      <x:c r="F1989" s="30" t="str">
        <x:v>common</x:v>
      </x:c>
      <x:c r="G1989" s="30" t="str">
        <x:v>standard</x:v>
      </x:c>
      <x:c r="H1989" s="30" t="str">
        <x:v>year-round</x:v>
      </x:c>
      <x:c r="I19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0">
      <x:c r="A1990" s="36" t="str">
        <x:v>caribbean</x:v>
      </x:c>
      <x:c r="B1990" s="30" t="str">
        <x:v>caribbean-broad-draft-1</x:v>
      </x:c>
      <x:c r="C1990" s="30" t="n">
        <x:v>17390</x:v>
      </x:c>
      <x:c r="D1990" s="32" t="str">
        <x:v>Cuban Vireo</x:v>
      </x:c>
      <x:c r="E1990" s="32" t="str">
        <x:v>Vireo gundlachii</x:v>
      </x:c>
      <x:c r="F1990" s="30" t="str">
        <x:v>common</x:v>
      </x:c>
      <x:c r="G1990" s="30" t="str">
        <x:v>standard</x:v>
      </x:c>
      <x:c r="H1990" s="30" t="str">
        <x:v>year-round</x:v>
      </x:c>
      <x:c r="I19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1">
      <x:c r="A1991" s="36" t="str">
        <x:v>caribbean</x:v>
      </x:c>
      <x:c r="B1991" s="30" t="str">
        <x:v>caribbean-broad-draft-1</x:v>
      </x:c>
      <x:c r="C1991" s="30" t="n">
        <x:v>5806</x:v>
      </x:c>
      <x:c r="D1991" s="32" t="str">
        <x:v>Green Mango</x:v>
      </x:c>
      <x:c r="E1991" s="32" t="str">
        <x:v>Anthracothorax viridis</x:v>
      </x:c>
      <x:c r="F1991" s="30" t="str">
        <x:v>common</x:v>
      </x:c>
      <x:c r="G1991" s="30" t="str">
        <x:v>standard</x:v>
      </x:c>
      <x:c r="H1991" s="30" t="str">
        <x:v>year-round</x:v>
      </x:c>
      <x:c r="I19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2">
      <x:c r="A1992" s="36" t="str">
        <x:v>caribbean</x:v>
      </x:c>
      <x:c r="B1992" s="30" t="str">
        <x:v>caribbean-broad-draft-1</x:v>
      </x:c>
      <x:c r="C1992" s="30" t="n">
        <x:v>9765</x:v>
      </x:c>
      <x:c r="D1992" s="32" t="str">
        <x:v>Tawny-shouldered Blackbird</x:v>
      </x:c>
      <x:c r="E1992" s="32" t="str">
        <x:v>Agelaius humeralis</x:v>
      </x:c>
      <x:c r="F1992" s="30" t="str">
        <x:v>common</x:v>
      </x:c>
      <x:c r="G1992" s="30" t="str">
        <x:v>standard</x:v>
      </x:c>
      <x:c r="H1992" s="30" t="str">
        <x:v>year-round</x:v>
      </x:c>
      <x:c r="I19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3">
      <x:c r="A1993" s="36" t="str">
        <x:v>caribbean</x:v>
      </x:c>
      <x:c r="B1993" s="30" t="str">
        <x:v>caribbean-broad-draft-1</x:v>
      </x:c>
      <x:c r="C1993" s="30" t="n">
        <x:v>10268</x:v>
      </x:c>
      <x:c r="D1993" s="32" t="str">
        <x:v>Orangequit</x:v>
      </x:c>
      <x:c r="E1993" s="32" t="str">
        <x:v>Euneornis campestris</x:v>
      </x:c>
      <x:c r="F1993" s="30" t="str">
        <x:v>common</x:v>
      </x:c>
      <x:c r="G1993" s="30" t="str">
        <x:v>standard</x:v>
      </x:c>
      <x:c r="H1993" s="30" t="str">
        <x:v>year-round</x:v>
      </x:c>
      <x:c r="I19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4">
      <x:c r="A1994" s="36" t="str">
        <x:v>caribbean</x:v>
      </x:c>
      <x:c r="B1994" s="30" t="str">
        <x:v>caribbean-broad-draft-1</x:v>
      </x:c>
      <x:c r="C1994" s="30" t="n">
        <x:v>1289585</x:v>
      </x:c>
      <x:c r="D1994" s="32" t="str">
        <x:v>Puerto Rican Owl</x:v>
      </x:c>
      <x:c r="E1994" s="32" t="str">
        <x:v>Gymnasio nudipes</x:v>
      </x:c>
      <x:c r="F1994" s="30" t="str">
        <x:v>common</x:v>
      </x:c>
      <x:c r="G1994" s="30" t="str">
        <x:v>standard</x:v>
      </x:c>
      <x:c r="H1994" s="30" t="str">
        <x:v>year-round</x:v>
      </x:c>
      <x:c r="I19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5">
      <x:c r="A1995" s="36" t="str">
        <x:v>caribbean</x:v>
      </x:c>
      <x:c r="B1995" s="30" t="str">
        <x:v>caribbean-broad-draft-1</x:v>
      </x:c>
      <x:c r="C1995" s="30" t="n">
        <x:v>19006</x:v>
      </x:c>
      <x:c r="D1995" s="32" t="str">
        <x:v>Puerto Rican Amazon</x:v>
      </x:c>
      <x:c r="E1995" s="32" t="str">
        <x:v>Amazona vittata</x:v>
      </x:c>
      <x:c r="F1995" s="30" t="str">
        <x:v>common</x:v>
      </x:c>
      <x:c r="G1995" s="30" t="str">
        <x:v>legendary</x:v>
      </x:c>
      <x:c r="H1995" s="30" t="str">
        <x:v>year-round</x:v>
      </x:c>
      <x:c r="I1995" s="37" t="str">
        <x:v>Owner-managed caribbean icon checklist; imported from caribbean_checklists.csv. Encounter rarity and prestige are curated game metadata. Automated rarity: inaturalist-regional-frequency-v1.</x:v>
      </x:c>
    </x:row>
    <x:row r="1996">
      <x:c r="A1996" s="36" t="str">
        <x:v>caribbean</x:v>
      </x:c>
      <x:c r="B1996" s="30" t="str">
        <x:v>caribbean-broad-draft-1</x:v>
      </x:c>
      <x:c r="C1996" s="30" t="n">
        <x:v>18988</x:v>
      </x:c>
      <x:c r="D1996" s="32" t="str">
        <x:v>Cuban Amazon</x:v>
      </x:c>
      <x:c r="E1996" s="32" t="str">
        <x:v>Amazona leucocephala</x:v>
      </x:c>
      <x:c r="F1996" s="30" t="str">
        <x:v>common</x:v>
      </x:c>
      <x:c r="G1996" s="30" t="str">
        <x:v>standard</x:v>
      </x:c>
      <x:c r="H1996" s="30" t="str">
        <x:v>year-round</x:v>
      </x:c>
      <x:c r="I19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7">
      <x:c r="A1997" s="36" t="str">
        <x:v>caribbean</x:v>
      </x:c>
      <x:c r="B1997" s="30" t="str">
        <x:v>caribbean-broad-draft-1</x:v>
      </x:c>
      <x:c r="C1997" s="30" t="n">
        <x:v>980033</x:v>
      </x:c>
      <x:c r="D1997" s="32" t="str">
        <x:v>Thick-billed Vireo</x:v>
      </x:c>
      <x:c r="E1997" s="32" t="str">
        <x:v>Vireo crassirostris</x:v>
      </x:c>
      <x:c r="F1997" s="30" t="str">
        <x:v>common</x:v>
      </x:c>
      <x:c r="G1997" s="30" t="str">
        <x:v>standard</x:v>
      </x:c>
      <x:c r="H1997" s="30" t="str">
        <x:v>year-round</x:v>
      </x:c>
      <x:c r="I19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8">
      <x:c r="A1998" s="36" t="str">
        <x:v>caribbean</x:v>
      </x:c>
      <x:c r="B1998" s="30" t="str">
        <x:v>caribbean-broad-draft-1</x:v>
      </x:c>
      <x:c r="C1998" s="30" t="n">
        <x:v>9764</x:v>
      </x:c>
      <x:c r="D1998" s="32" t="str">
        <x:v>Yellow-shouldered Blackbird</x:v>
      </x:c>
      <x:c r="E1998" s="32" t="str">
        <x:v>Agelaius xanthomus</x:v>
      </x:c>
      <x:c r="F1998" s="30" t="str">
        <x:v>common</x:v>
      </x:c>
      <x:c r="G1998" s="30" t="str">
        <x:v>standard</x:v>
      </x:c>
      <x:c r="H1998" s="30" t="str">
        <x:v>year-round</x:v>
      </x:c>
      <x:c r="I19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1999">
      <x:c r="A1999" s="36" t="str">
        <x:v>caribbean</x:v>
      </x:c>
      <x:c r="B1999" s="30" t="str">
        <x:v>caribbean-broad-draft-1</x:v>
      </x:c>
      <x:c r="C1999" s="30" t="n">
        <x:v>5227</x:v>
      </x:c>
      <x:c r="D1999" s="32" t="str">
        <x:v>Broad-winged Hawk</x:v>
      </x:c>
      <x:c r="E1999" s="32" t="str">
        <x:v>Buteo platypterus</x:v>
      </x:c>
      <x:c r="F1999" s="30" t="str">
        <x:v>common</x:v>
      </x:c>
      <x:c r="G1999" s="30" t="str">
        <x:v>standard</x:v>
      </x:c>
      <x:c r="H1999" s="30" t="str">
        <x:v>year-round</x:v>
      </x:c>
      <x:c r="I19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0">
      <x:c r="A2000" s="36" t="str">
        <x:v>caribbean</x:v>
      </x:c>
      <x:c r="B2000" s="30" t="str">
        <x:v>caribbean-broad-draft-1</x:v>
      </x:c>
      <x:c r="C2000" s="30" t="n">
        <x:v>13966</x:v>
      </x:c>
      <x:c r="D2000" s="32" t="str">
        <x:v>Northern Red Bishop</x:v>
      </x:c>
      <x:c r="E2000" s="32" t="str">
        <x:v>Euplectes franciscanus</x:v>
      </x:c>
      <x:c r="F2000" s="30" t="str">
        <x:v>common</x:v>
      </x:c>
      <x:c r="G2000" s="30" t="str">
        <x:v>standard</x:v>
      </x:c>
      <x:c r="H2000" s="30" t="str">
        <x:v>year-round</x:v>
      </x:c>
      <x:c r="I20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1">
      <x:c r="A2001" s="36" t="str">
        <x:v>caribbean</x:v>
      </x:c>
      <x:c r="B2001" s="30" t="str">
        <x:v>caribbean-broad-draft-1</x:v>
      </x:c>
      <x:c r="C2001" s="30" t="n">
        <x:v>5794</x:v>
      </x:c>
      <x:c r="D2001" s="32" t="str">
        <x:v>Jamaican Mango</x:v>
      </x:c>
      <x:c r="E2001" s="32" t="str">
        <x:v>Anthracothorax mango</x:v>
      </x:c>
      <x:c r="F2001" s="30" t="str">
        <x:v>common</x:v>
      </x:c>
      <x:c r="G2001" s="30" t="str">
        <x:v>standard</x:v>
      </x:c>
      <x:c r="H2001" s="30" t="str">
        <x:v>year-round</x:v>
      </x:c>
      <x:c r="I20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2">
      <x:c r="A2002" s="36" t="str">
        <x:v>caribbean</x:v>
      </x:c>
      <x:c r="B2002" s="30" t="str">
        <x:v>caribbean-broad-draft-1</x:v>
      </x:c>
      <x:c r="C2002" s="30" t="n">
        <x:v>367556</x:v>
      </x:c>
      <x:c r="D2002" s="32" t="str">
        <x:v>Olive-throated Parakeet</x:v>
      </x:c>
      <x:c r="E2002" s="32" t="str">
        <x:v>Eupsittula nana</x:v>
      </x:c>
      <x:c r="F2002" s="30" t="str">
        <x:v>common</x:v>
      </x:c>
      <x:c r="G2002" s="30" t="str">
        <x:v>standard</x:v>
      </x:c>
      <x:c r="H2002" s="30" t="str">
        <x:v>year-round</x:v>
      </x:c>
      <x:c r="I20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3">
      <x:c r="A2003" s="36" t="str">
        <x:v>caribbean</x:v>
      </x:c>
      <x:c r="B2003" s="30" t="str">
        <x:v>caribbean-broad-draft-1</x:v>
      </x:c>
      <x:c r="C2003" s="30" t="n">
        <x:v>3523</x:v>
      </x:c>
      <x:c r="D2003" s="32" t="str">
        <x:v>Bridled Quail-Dove</x:v>
      </x:c>
      <x:c r="E2003" s="32" t="str">
        <x:v>Geotrygon mystacea</x:v>
      </x:c>
      <x:c r="F2003" s="30" t="str">
        <x:v>common</x:v>
      </x:c>
      <x:c r="G2003" s="30" t="str">
        <x:v>standard</x:v>
      </x:c>
      <x:c r="H2003" s="30" t="str">
        <x:v>year-round</x:v>
      </x:c>
      <x:c r="I20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4">
      <x:c r="A2004" s="36" t="str">
        <x:v>caribbean</x:v>
      </x:c>
      <x:c r="B2004" s="30" t="str">
        <x:v>caribbean-broad-draft-1</x:v>
      </x:c>
      <x:c r="C2004" s="30" t="n">
        <x:v>1454382</x:v>
      </x:c>
      <x:c r="D2004" s="32" t="str">
        <x:v>Double-crested Cormorant</x:v>
      </x:c>
      <x:c r="E2004" s="32" t="str">
        <x:v>Nannopterum auritum</x:v>
      </x:c>
      <x:c r="F2004" s="30" t="str">
        <x:v>common</x:v>
      </x:c>
      <x:c r="G2004" s="30" t="str">
        <x:v>standard</x:v>
      </x:c>
      <x:c r="H2004" s="30" t="str">
        <x:v>year-round</x:v>
      </x:c>
      <x:c r="I20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5">
      <x:c r="A2005" s="36" t="str">
        <x:v>caribbean</x:v>
      </x:c>
      <x:c r="B2005" s="30" t="str">
        <x:v>caribbean-broad-draft-1</x:v>
      </x:c>
      <x:c r="C2005" s="30" t="n">
        <x:v>2119</x:v>
      </x:c>
      <x:c r="D2005" s="32" t="str">
        <x:v>Jamaican Tody</x:v>
      </x:c>
      <x:c r="E2005" s="32" t="str">
        <x:v>Todus todus</x:v>
      </x:c>
      <x:c r="F2005" s="30" t="str">
        <x:v>common</x:v>
      </x:c>
      <x:c r="G2005" s="30" t="str">
        <x:v>standard</x:v>
      </x:c>
      <x:c r="H2005" s="30" t="str">
        <x:v>year-round</x:v>
      </x:c>
      <x:c r="I20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6">
      <x:c r="A2006" s="36" t="str">
        <x:v>caribbean</x:v>
      </x:c>
      <x:c r="B2006" s="30" t="str">
        <x:v>caribbean-broad-draft-1</x:v>
      </x:c>
      <x:c r="C2006" s="30" t="n">
        <x:v>850859</x:v>
      </x:c>
      <x:c r="D2006" s="32" t="str">
        <x:v>Ruddy Duck</x:v>
      </x:c>
      <x:c r="E2006" s="32" t="str">
        <x:v>Oxyura jamaicensis</x:v>
      </x:c>
      <x:c r="F2006" s="30" t="str">
        <x:v>common</x:v>
      </x:c>
      <x:c r="G2006" s="30" t="str">
        <x:v>standard</x:v>
      </x:c>
      <x:c r="H2006" s="30" t="str">
        <x:v>year-round</x:v>
      </x:c>
      <x:c r="I20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7">
      <x:c r="A2007" s="36" t="str">
        <x:v>caribbean</x:v>
      </x:c>
      <x:c r="B2007" s="30" t="str">
        <x:v>caribbean-broad-draft-1</x:v>
      </x:c>
      <x:c r="C2007" s="30" t="n">
        <x:v>14980</x:v>
      </x:c>
      <x:c r="D2007" s="32" t="str">
        <x:v>Brown Trembler</x:v>
      </x:c>
      <x:c r="E2007" s="32" t="str">
        <x:v>Cinclocerthia ruficauda</x:v>
      </x:c>
      <x:c r="F2007" s="30" t="str">
        <x:v>common</x:v>
      </x:c>
      <x:c r="G2007" s="30" t="str">
        <x:v>standard</x:v>
      </x:c>
      <x:c r="H2007" s="30" t="str">
        <x:v>year-round</x:v>
      </x:c>
      <x:c r="I20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8">
      <x:c r="A2008" s="36" t="str">
        <x:v>caribbean</x:v>
      </x:c>
      <x:c r="B2008" s="30" t="str">
        <x:v>caribbean-broad-draft-1</x:v>
      </x:c>
      <x:c r="C2008" s="30" t="n">
        <x:v>13770</x:v>
      </x:c>
      <x:c r="D2008" s="32" t="str">
        <x:v>Common Waxbill</x:v>
      </x:c>
      <x:c r="E2008" s="32" t="str">
        <x:v>Estrilda astrild</x:v>
      </x:c>
      <x:c r="F2008" s="30" t="str">
        <x:v>common</x:v>
      </x:c>
      <x:c r="G2008" s="30" t="str">
        <x:v>standard</x:v>
      </x:c>
      <x:c r="H2008" s="30" t="str">
        <x:v>year-round</x:v>
      </x:c>
      <x:c r="I20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09">
      <x:c r="A2009" s="36" t="str">
        <x:v>caribbean</x:v>
      </x:c>
      <x:c r="B2009" s="30" t="str">
        <x:v>caribbean-broad-draft-1</x:v>
      </x:c>
      <x:c r="C2009" s="30" t="n">
        <x:v>4647</x:v>
      </x:c>
      <x:c r="D2009" s="32" t="str">
        <x:v>Peregrine Falcon</x:v>
      </x:c>
      <x:c r="E2009" s="32" t="str">
        <x:v>Falco peregrinus</x:v>
      </x:c>
      <x:c r="F2009" s="30" t="str">
        <x:v>common</x:v>
      </x:c>
      <x:c r="G2009" s="30" t="str">
        <x:v>standard</x:v>
      </x:c>
      <x:c r="H2009" s="30" t="str">
        <x:v>year-round</x:v>
      </x:c>
      <x:c r="I20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0">
      <x:c r="A2010" s="36" t="str">
        <x:v>caribbean</x:v>
      </x:c>
      <x:c r="B2010" s="30" t="str">
        <x:v>caribbean-broad-draft-1</x:v>
      </x:c>
      <x:c r="C2010" s="30" t="n">
        <x:v>3875</x:v>
      </x:c>
      <x:c r="D2010" s="32" t="str">
        <x:v>Solitary Sandpiper</x:v>
      </x:c>
      <x:c r="E2010" s="32" t="str">
        <x:v>Tringa solitaria</x:v>
      </x:c>
      <x:c r="F2010" s="30" t="str">
        <x:v>common</x:v>
      </x:c>
      <x:c r="G2010" s="30" t="str">
        <x:v>standard</x:v>
      </x:c>
      <x:c r="H2010" s="30" t="str">
        <x:v>year-round</x:v>
      </x:c>
      <x:c r="I20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1">
      <x:c r="A2011" s="36" t="str">
        <x:v>caribbean</x:v>
      </x:c>
      <x:c r="B2011" s="30" t="str">
        <x:v>caribbean-broad-draft-1</x:v>
      </x:c>
      <x:c r="C2011" s="30" t="n">
        <x:v>14011</x:v>
      </x:c>
      <x:c r="D2011" s="32" t="str">
        <x:v>Pin-tailed Whydah</x:v>
      </x:c>
      <x:c r="E2011" s="32" t="str">
        <x:v>Vidua macroura</x:v>
      </x:c>
      <x:c r="F2011" s="30" t="str">
        <x:v>common</x:v>
      </x:c>
      <x:c r="G2011" s="30" t="str">
        <x:v>standard</x:v>
      </x:c>
      <x:c r="H2011" s="30" t="str">
        <x:v>year-round</x:v>
      </x:c>
      <x:c r="I20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2">
      <x:c r="A2012" s="36" t="str">
        <x:v>caribbean</x:v>
      </x:c>
      <x:c r="B2012" s="30" t="str">
        <x:v>caribbean-broad-draft-1</x:v>
      </x:c>
      <x:c r="C2012" s="30" t="n">
        <x:v>18979</x:v>
      </x:c>
      <x:c r="D2012" s="32" t="str">
        <x:v>Yellow-billed Amazon</x:v>
      </x:c>
      <x:c r="E2012" s="32" t="str">
        <x:v>Amazona collaria</x:v>
      </x:c>
      <x:c r="F2012" s="30" t="str">
        <x:v>common</x:v>
      </x:c>
      <x:c r="G2012" s="30" t="str">
        <x:v>standard</x:v>
      </x:c>
      <x:c r="H2012" s="30" t="str">
        <x:v>year-round</x:v>
      </x:c>
      <x:c r="I20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3">
      <x:c r="A2013" s="36" t="str">
        <x:v>caribbean</x:v>
      </x:c>
      <x:c r="B2013" s="30" t="str">
        <x:v>caribbean-broad-draft-1</x:v>
      </x:c>
      <x:c r="C2013" s="30" t="n">
        <x:v>14995</x:v>
      </x:c>
      <x:c r="D2013" s="32" t="str">
        <x:v>Gray Catbird</x:v>
      </x:c>
      <x:c r="E2013" s="32" t="str">
        <x:v>Dumetella carolinensis</x:v>
      </x:c>
      <x:c r="F2013" s="30" t="str">
        <x:v>common</x:v>
      </x:c>
      <x:c r="G2013" s="30" t="str">
        <x:v>standard</x:v>
      </x:c>
      <x:c r="H2013" s="30" t="str">
        <x:v>year-round</x:v>
      </x:c>
      <x:c r="I20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4">
      <x:c r="A2014" s="36" t="str">
        <x:v>caribbean</x:v>
      </x:c>
      <x:c r="B2014" s="30" t="str">
        <x:v>caribbean-broad-draft-1</x:v>
      </x:c>
      <x:c r="C2014" s="30" t="n">
        <x:v>10516</x:v>
      </x:c>
      <x:c r="D2014" s="32" t="str">
        <x:v>Oriente Warbler</x:v>
      </x:c>
      <x:c r="E2014" s="32" t="str">
        <x:v>Teretistris fornsi</x:v>
      </x:c>
      <x:c r="F2014" s="30" t="str">
        <x:v>common</x:v>
      </x:c>
      <x:c r="G2014" s="30" t="str">
        <x:v>standard</x:v>
      </x:c>
      <x:c r="H2014" s="30" t="str">
        <x:v>year-round</x:v>
      </x:c>
      <x:c r="I20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5">
      <x:c r="A2015" s="36" t="str">
        <x:v>caribbean</x:v>
      </x:c>
      <x:c r="B2015" s="30" t="str">
        <x:v>caribbean-broad-draft-1</x:v>
      </x:c>
      <x:c r="C2015" s="30" t="n">
        <x:v>339607</x:v>
      </x:c>
      <x:c r="D2015" s="32" t="str">
        <x:v>Bare-legged Owl</x:v>
      </x:c>
      <x:c r="E2015" s="32" t="str">
        <x:v>Margarobyas lawrencii</x:v>
      </x:c>
      <x:c r="F2015" s="30" t="str">
        <x:v>common</x:v>
      </x:c>
      <x:c r="G2015" s="30" t="str">
        <x:v>standard</x:v>
      </x:c>
      <x:c r="H2015" s="30" t="str">
        <x:v>year-round</x:v>
      </x:c>
      <x:c r="I20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6">
      <x:c r="A2016" s="36" t="str">
        <x:v>caribbean</x:v>
      </x:c>
      <x:c r="B2016" s="30" t="str">
        <x:v>caribbean-broad-draft-1</x:v>
      </x:c>
      <x:c r="C2016" s="30" t="n">
        <x:v>62529</x:v>
      </x:c>
      <x:c r="D2016" s="32" t="str">
        <x:v>Roseate Spoonbill</x:v>
      </x:c>
      <x:c r="E2016" s="32" t="str">
        <x:v>Platalea ajaja</x:v>
      </x:c>
      <x:c r="F2016" s="30" t="str">
        <x:v>common</x:v>
      </x:c>
      <x:c r="G2016" s="30" t="str">
        <x:v>standard</x:v>
      </x:c>
      <x:c r="H2016" s="30" t="str">
        <x:v>year-round</x:v>
      </x:c>
      <x:c r="I20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7">
      <x:c r="A2017" s="36" t="str">
        <x:v>caribbean</x:v>
      </x:c>
      <x:c r="B2017" s="30" t="str">
        <x:v>caribbean-broad-draft-1</x:v>
      </x:c>
      <x:c r="C2017" s="30" t="n">
        <x:v>3869</x:v>
      </x:c>
      <x:c r="D2017" s="32" t="str">
        <x:v>Short-billed Dowitcher</x:v>
      </x:c>
      <x:c r="E2017" s="32" t="str">
        <x:v>Limnodromus griseus</x:v>
      </x:c>
      <x:c r="F2017" s="30" t="str">
        <x:v>common</x:v>
      </x:c>
      <x:c r="G2017" s="30" t="str">
        <x:v>standard</x:v>
      </x:c>
      <x:c r="H2017" s="30" t="str">
        <x:v>year-round</x:v>
      </x:c>
      <x:c r="I20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8">
      <x:c r="A2018" s="36" t="str">
        <x:v>caribbean</x:v>
      </x:c>
      <x:c r="B2018" s="30" t="str">
        <x:v>caribbean-broad-draft-1</x:v>
      </x:c>
      <x:c r="C2018" s="30" t="n">
        <x:v>16057</x:v>
      </x:c>
      <x:c r="D2018" s="32" t="str">
        <x:v>Sad Flycatcher</x:v>
      </x:c>
      <x:c r="E2018" s="32" t="str">
        <x:v>Myiarchus barbirostris</x:v>
      </x:c>
      <x:c r="F2018" s="30" t="str">
        <x:v>common</x:v>
      </x:c>
      <x:c r="G2018" s="30" t="str">
        <x:v>standard</x:v>
      </x:c>
      <x:c r="H2018" s="30" t="str">
        <x:v>year-round</x:v>
      </x:c>
      <x:c r="I20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19">
      <x:c r="A2019" s="36" t="str">
        <x:v>caribbean</x:v>
      </x:c>
      <x:c r="B2019" s="30" t="str">
        <x:v>caribbean-broad-draft-1</x:v>
      </x:c>
      <x:c r="C2019" s="30" t="n">
        <x:v>367477</x:v>
      </x:c>
      <x:c r="D2019" s="32" t="str">
        <x:v>Clapper Rail</x:v>
      </x:c>
      <x:c r="E2019" s="32" t="str">
        <x:v>Rallus crepitans</x:v>
      </x:c>
      <x:c r="F2019" s="30" t="str">
        <x:v>common</x:v>
      </x:c>
      <x:c r="G2019" s="30" t="str">
        <x:v>standard</x:v>
      </x:c>
      <x:c r="H2019" s="30" t="str">
        <x:v>year-round</x:v>
      </x:c>
      <x:c r="I20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0">
      <x:c r="A2020" s="36" t="str">
        <x:v>caribbean</x:v>
      </x:c>
      <x:c r="B2020" s="30" t="str">
        <x:v>caribbean-broad-draft-1</x:v>
      </x:c>
      <x:c r="C2020" s="30" t="n">
        <x:v>145245</x:v>
      </x:c>
      <x:c r="D2020" s="32" t="str">
        <x:v>Yellow-rumped Warbler</x:v>
      </x:c>
      <x:c r="E2020" s="32" t="str">
        <x:v>Setophaga coronata</x:v>
      </x:c>
      <x:c r="F2020" s="30" t="str">
        <x:v>common</x:v>
      </x:c>
      <x:c r="G2020" s="30" t="str">
        <x:v>standard</x:v>
      </x:c>
      <x:c r="H2020" s="30" t="str">
        <x:v>year-round</x:v>
      </x:c>
      <x:c r="I20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1">
      <x:c r="A2021" s="36" t="str">
        <x:v>caribbean</x:v>
      </x:c>
      <x:c r="B2021" s="30" t="str">
        <x:v>caribbean-broad-draft-1</x:v>
      </x:c>
      <x:c r="C2021" s="30" t="n">
        <x:v>7</x:v>
      </x:c>
      <x:c r="D2021" s="32" t="str">
        <x:v>Limpkin</x:v>
      </x:c>
      <x:c r="E2021" s="32" t="str">
        <x:v>Aramus guarauna</x:v>
      </x:c>
      <x:c r="F2021" s="30" t="str">
        <x:v>common</x:v>
      </x:c>
      <x:c r="G2021" s="30" t="str">
        <x:v>standard</x:v>
      </x:c>
      <x:c r="H2021" s="30" t="str">
        <x:v>year-round</x:v>
      </x:c>
      <x:c r="I20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2">
      <x:c r="A2022" s="36" t="str">
        <x:v>caribbean</x:v>
      </x:c>
      <x:c r="B2022" s="30" t="str">
        <x:v>caribbean-broad-draft-1</x:v>
      </x:c>
      <x:c r="C2022" s="30" t="n">
        <x:v>16102</x:v>
      </x:c>
      <x:c r="D2022" s="32" t="str">
        <x:v>Lesser Antillean Pewee</x:v>
      </x:c>
      <x:c r="E2022" s="32" t="str">
        <x:v>Contopus latirostris</x:v>
      </x:c>
      <x:c r="F2022" s="30" t="str">
        <x:v>common</x:v>
      </x:c>
      <x:c r="G2022" s="30" t="str">
        <x:v>standard</x:v>
      </x:c>
      <x:c r="H2022" s="30" t="str">
        <x:v>year-round</x:v>
      </x:c>
      <x:c r="I20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3">
      <x:c r="A2023" s="36" t="str">
        <x:v>caribbean</x:v>
      </x:c>
      <x:c r="B2023" s="30" t="str">
        <x:v>caribbean-broad-draft-1</x:v>
      </x:c>
      <x:c r="C2023" s="30" t="n">
        <x:v>1289680</x:v>
      </x:c>
      <x:c r="D2023" s="32" t="str">
        <x:v>Hispaniolan Emerald</x:v>
      </x:c>
      <x:c r="E2023" s="32" t="str">
        <x:v>Riccordia swainsonii</x:v>
      </x:c>
      <x:c r="F2023" s="30" t="str">
        <x:v>common</x:v>
      </x:c>
      <x:c r="G2023" s="30" t="str">
        <x:v>standard</x:v>
      </x:c>
      <x:c r="H2023" s="30" t="str">
        <x:v>year-round</x:v>
      </x:c>
      <x:c r="I20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4">
      <x:c r="A2024" s="36" t="str">
        <x:v>caribbean</x:v>
      </x:c>
      <x:c r="B2024" s="30" t="str">
        <x:v>caribbean-broad-draft-1</x:v>
      </x:c>
      <x:c r="C2024" s="30" t="n">
        <x:v>10515</x:v>
      </x:c>
      <x:c r="D2024" s="32" t="str">
        <x:v>Yellow-headed Warbler</x:v>
      </x:c>
      <x:c r="E2024" s="32" t="str">
        <x:v>Teretistris fernandinae</x:v>
      </x:c>
      <x:c r="F2024" s="30" t="str">
        <x:v>common</x:v>
      </x:c>
      <x:c r="G2024" s="30" t="str">
        <x:v>standard</x:v>
      </x:c>
      <x:c r="H2024" s="30" t="str">
        <x:v>year-round</x:v>
      </x:c>
      <x:c r="I20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5">
      <x:c r="A2025" s="36" t="str">
        <x:v>caribbean</x:v>
      </x:c>
      <x:c r="B2025" s="30" t="str">
        <x:v>caribbean-broad-draft-1</x:v>
      </x:c>
      <x:c r="C2025" s="30" t="n">
        <x:v>20847</x:v>
      </x:c>
      <x:c r="D2025" s="32" t="str">
        <x:v>Hispaniolan Trogon</x:v>
      </x:c>
      <x:c r="E2025" s="32" t="str">
        <x:v>Priotelus roseigaster</x:v>
      </x:c>
      <x:c r="F2025" s="30" t="str">
        <x:v>common</x:v>
      </x:c>
      <x:c r="G2025" s="30" t="str">
        <x:v>standard</x:v>
      </x:c>
      <x:c r="H2025" s="30" t="str">
        <x:v>year-round</x:v>
      </x:c>
      <x:c r="I20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6">
      <x:c r="A2026" s="36" t="str">
        <x:v>caribbean</x:v>
      </x:c>
      <x:c r="B2026" s="30" t="str">
        <x:v>caribbean-broad-draft-1</x:v>
      </x:c>
      <x:c r="C2026" s="30" t="n">
        <x:v>3499</x:v>
      </x:c>
      <x:c r="D2026" s="32" t="str">
        <x:v>Key West Quail-Dove</x:v>
      </x:c>
      <x:c r="E2026" s="32" t="str">
        <x:v>Geotrygon chrysia</x:v>
      </x:c>
      <x:c r="F2026" s="30" t="str">
        <x:v>common</x:v>
      </x:c>
      <x:c r="G2026" s="30" t="str">
        <x:v>standard</x:v>
      </x:c>
      <x:c r="H2026" s="30" t="str">
        <x:v>year-round</x:v>
      </x:c>
      <x:c r="I20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7">
      <x:c r="A2027" s="36" t="str">
        <x:v>caribbean</x:v>
      </x:c>
      <x:c r="B2027" s="30" t="str">
        <x:v>caribbean-broad-draft-1</x:v>
      </x:c>
      <x:c r="C2027" s="30" t="n">
        <x:v>144527</x:v>
      </x:c>
      <x:c r="D2027" s="32" t="str">
        <x:v>Bridled Tern</x:v>
      </x:c>
      <x:c r="E2027" s="32" t="str">
        <x:v>Onychoprion anaethetus</x:v>
      </x:c>
      <x:c r="F2027" s="30" t="str">
        <x:v>common</x:v>
      </x:c>
      <x:c r="G2027" s="30" t="str">
        <x:v>standard</x:v>
      </x:c>
      <x:c r="H2027" s="30" t="str">
        <x:v>year-round</x:v>
      </x:c>
      <x:c r="I20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8">
      <x:c r="A2028" s="36" t="str">
        <x:v>caribbean</x:v>
      </x:c>
      <x:c r="B2028" s="30" t="str">
        <x:v>caribbean-broad-draft-1</x:v>
      </x:c>
      <x:c r="C2028" s="30" t="n">
        <x:v>7504</x:v>
      </x:c>
      <x:c r="D2028" s="32" t="str">
        <x:v>Cuban Gnatcatcher</x:v>
      </x:c>
      <x:c r="E2028" s="32" t="str">
        <x:v>Polioptila lembeyei</x:v>
      </x:c>
      <x:c r="F2028" s="30" t="str">
        <x:v>common</x:v>
      </x:c>
      <x:c r="G2028" s="30" t="str">
        <x:v>standard</x:v>
      </x:c>
      <x:c r="H2028" s="30" t="str">
        <x:v>year-round</x:v>
      </x:c>
      <x:c r="I20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29">
      <x:c r="A2029" s="36" t="str">
        <x:v>caribbean</x:v>
      </x:c>
      <x:c r="B2029" s="30" t="str">
        <x:v>caribbean-broad-draft-1</x:v>
      </x:c>
      <x:c r="C2029" s="30" t="n">
        <x:v>8053</x:v>
      </x:c>
      <x:c r="D2029" s="32" t="str">
        <x:v>Jamaican Crow</x:v>
      </x:c>
      <x:c r="E2029" s="32" t="str">
        <x:v>Corvus jamaicensis</x:v>
      </x:c>
      <x:c r="F2029" s="30" t="str">
        <x:v>common</x:v>
      </x:c>
      <x:c r="G2029" s="30" t="str">
        <x:v>standard</x:v>
      </x:c>
      <x:c r="H2029" s="30" t="str">
        <x:v>year-round</x:v>
      </x:c>
      <x:c r="I20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0">
      <x:c r="A2030" s="36" t="str">
        <x:v>caribbean</x:v>
      </x:c>
      <x:c r="B2030" s="30" t="str">
        <x:v>caribbean-broad-draft-1</x:v>
      </x:c>
      <x:c r="C2030" s="30" t="n">
        <x:v>2120</x:v>
      </x:c>
      <x:c r="D2030" s="32" t="str">
        <x:v>Narrow-billed Tody</x:v>
      </x:c>
      <x:c r="E2030" s="32" t="str">
        <x:v>Todus angustirostris</x:v>
      </x:c>
      <x:c r="F2030" s="30" t="str">
        <x:v>common</x:v>
      </x:c>
      <x:c r="G2030" s="30" t="str">
        <x:v>standard</x:v>
      </x:c>
      <x:c r="H2030" s="30" t="str">
        <x:v>year-round</x:v>
      </x:c>
      <x:c r="I20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1">
      <x:c r="A2031" s="36" t="str">
        <x:v>caribbean</x:v>
      </x:c>
      <x:c r="B2031" s="30" t="str">
        <x:v>caribbean-broad-draft-1</x:v>
      </x:c>
      <x:c r="C2031" s="30" t="n">
        <x:v>12767</x:v>
      </x:c>
      <x:c r="D2031" s="32" t="str">
        <x:v>Spectacled Thrush</x:v>
      </x:c>
      <x:c r="E2031" s="32" t="str">
        <x:v>Turdus nudigenis</x:v>
      </x:c>
      <x:c r="F2031" s="30" t="str">
        <x:v>uncommon</x:v>
      </x:c>
      <x:c r="G2031" s="30" t="str">
        <x:v>standard</x:v>
      </x:c>
      <x:c r="H2031" s="30" t="str">
        <x:v>year-round</x:v>
      </x:c>
      <x:c r="I20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2">
      <x:c r="A2032" s="36" t="str">
        <x:v>caribbean</x:v>
      </x:c>
      <x:c r="B2032" s="30" t="str">
        <x:v>caribbean-broad-draft-1</x:v>
      </x:c>
      <x:c r="C2032" s="30" t="n">
        <x:v>73148</x:v>
      </x:c>
      <x:c r="D2032" s="32" t="str">
        <x:v>Louisiana Waterthrush</x:v>
      </x:c>
      <x:c r="E2032" s="32" t="str">
        <x:v>Parkesia motacilla</x:v>
      </x:c>
      <x:c r="F2032" s="30" t="str">
        <x:v>uncommon</x:v>
      </x:c>
      <x:c r="G2032" s="30" t="str">
        <x:v>standard</x:v>
      </x:c>
      <x:c r="H2032" s="30" t="str">
        <x:v>year-round</x:v>
      </x:c>
      <x:c r="I20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3">
      <x:c r="A2033" s="36" t="str">
        <x:v>caribbean</x:v>
      </x:c>
      <x:c r="B2033" s="30" t="str">
        <x:v>caribbean-broad-draft-1</x:v>
      </x:c>
      <x:c r="C2033" s="30" t="n">
        <x:v>5197</x:v>
      </x:c>
      <x:c r="D2033" s="32" t="str">
        <x:v>Ridgway's Hawk</x:v>
      </x:c>
      <x:c r="E2033" s="32" t="str">
        <x:v>Buteo ridgwayi</x:v>
      </x:c>
      <x:c r="F2033" s="30" t="str">
        <x:v>uncommon</x:v>
      </x:c>
      <x:c r="G2033" s="30" t="str">
        <x:v>standard</x:v>
      </x:c>
      <x:c r="H2033" s="30" t="str">
        <x:v>year-round</x:v>
      </x:c>
      <x:c r="I20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4">
      <x:c r="A2034" s="36" t="str">
        <x:v>caribbean</x:v>
      </x:c>
      <x:c r="B2034" s="30" t="str">
        <x:v>caribbean-broad-draft-1</x:v>
      </x:c>
      <x:c r="C2034" s="30" t="n">
        <x:v>3656</x:v>
      </x:c>
      <x:c r="D2034" s="32" t="str">
        <x:v>Blue-headed Quail-Dove</x:v>
      </x:c>
      <x:c r="E2034" s="32" t="str">
        <x:v>Starnoenas cyanocephala</x:v>
      </x:c>
      <x:c r="F2034" s="30" t="str">
        <x:v>uncommon</x:v>
      </x:c>
      <x:c r="G2034" s="30" t="str">
        <x:v>standard</x:v>
      </x:c>
      <x:c r="H2034" s="30" t="str">
        <x:v>year-round</x:v>
      </x:c>
      <x:c r="I20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5">
      <x:c r="A2035" s="36" t="str">
        <x:v>caribbean</x:v>
      </x:c>
      <x:c r="B2035" s="30" t="str">
        <x:v>caribbean-broad-draft-1</x:v>
      </x:c>
      <x:c r="C2035" s="30" t="n">
        <x:v>4715</x:v>
      </x:c>
      <x:c r="D2035" s="32" t="str">
        <x:v>Crested Caracara</x:v>
      </x:c>
      <x:c r="E2035" s="32" t="str">
        <x:v>Caracara plancus</x:v>
      </x:c>
      <x:c r="F2035" s="30" t="str">
        <x:v>uncommon</x:v>
      </x:c>
      <x:c r="G2035" s="30" t="str">
        <x:v>standard</x:v>
      </x:c>
      <x:c r="H2035" s="30" t="str">
        <x:v>year-round</x:v>
      </x:c>
      <x:c r="I20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6">
      <x:c r="A2036" s="36" t="str">
        <x:v>caribbean</x:v>
      </x:c>
      <x:c r="B2036" s="30" t="str">
        <x:v>caribbean-broad-draft-1</x:v>
      </x:c>
      <x:c r="C2036" s="30" t="n">
        <x:v>18235</x:v>
      </x:c>
      <x:c r="D2036" s="32" t="str">
        <x:v>Fernandina's Flicker</x:v>
      </x:c>
      <x:c r="E2036" s="32" t="str">
        <x:v>Colaptes fernandinae</x:v>
      </x:c>
      <x:c r="F2036" s="30" t="str">
        <x:v>uncommon</x:v>
      </x:c>
      <x:c r="G2036" s="30" t="str">
        <x:v>standard</x:v>
      </x:c>
      <x:c r="H2036" s="30" t="str">
        <x:v>year-round</x:v>
      </x:c>
      <x:c r="I20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7">
      <x:c r="A2037" s="36" t="str">
        <x:v>caribbean</x:v>
      </x:c>
      <x:c r="B2037" s="30" t="str">
        <x:v>caribbean-broad-draft-1</x:v>
      </x:c>
      <x:c r="C2037" s="30" t="n">
        <x:v>16013</x:v>
      </x:c>
      <x:c r="D2037" s="32" t="str">
        <x:v>Stolid Flycatcher</x:v>
      </x:c>
      <x:c r="E2037" s="32" t="str">
        <x:v>Myiarchus stolidus</x:v>
      </x:c>
      <x:c r="F2037" s="30" t="str">
        <x:v>uncommon</x:v>
      </x:c>
      <x:c r="G2037" s="30" t="str">
        <x:v>standard</x:v>
      </x:c>
      <x:c r="H2037" s="30" t="str">
        <x:v>year-round</x:v>
      </x:c>
      <x:c r="I20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8">
      <x:c r="A2038" s="36" t="str">
        <x:v>caribbean</x:v>
      </x:c>
      <x:c r="B2038" s="30" t="str">
        <x:v>caribbean-broad-draft-1</x:v>
      </x:c>
      <x:c r="C2038" s="30" t="n">
        <x:v>10645</x:v>
      </x:c>
      <x:c r="D2038" s="32" t="str">
        <x:v>Zapata Sparrow</x:v>
      </x:c>
      <x:c r="E2038" s="32" t="str">
        <x:v>Torreornis inexpectata</x:v>
      </x:c>
      <x:c r="F2038" s="30" t="str">
        <x:v>uncommon</x:v>
      </x:c>
      <x:c r="G2038" s="30" t="str">
        <x:v>standard</x:v>
      </x:c>
      <x:c r="H2038" s="30" t="str">
        <x:v>year-round</x:v>
      </x:c>
      <x:c r="I20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39">
      <x:c r="A2039" s="36" t="str">
        <x:v>caribbean</x:v>
      </x:c>
      <x:c r="B2039" s="30" t="str">
        <x:v>caribbean-broad-draft-1</x:v>
      </x:c>
      <x:c r="C2039" s="30" t="n">
        <x:v>73410</x:v>
      </x:c>
      <x:c r="D2039" s="32" t="str">
        <x:v>Hispaniolan Spindalis</x:v>
      </x:c>
      <x:c r="E2039" s="32" t="str">
        <x:v>Spindalis dominicensis</x:v>
      </x:c>
      <x:c r="F2039" s="30" t="str">
        <x:v>uncommon</x:v>
      </x:c>
      <x:c r="G2039" s="30" t="str">
        <x:v>standard</x:v>
      </x:c>
      <x:c r="H2039" s="30" t="str">
        <x:v>year-round</x:v>
      </x:c>
      <x:c r="I20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0">
      <x:c r="A2040" s="36" t="str">
        <x:v>caribbean</x:v>
      </x:c>
      <x:c r="B2040" s="30" t="str">
        <x:v>caribbean-broad-draft-1</x:v>
      </x:c>
      <x:c r="C2040" s="30" t="n">
        <x:v>73411</x:v>
      </x:c>
      <x:c r="D2040" s="32" t="str">
        <x:v>Jamaican Spindalis</x:v>
      </x:c>
      <x:c r="E2040" s="32" t="str">
        <x:v>Spindalis nigricephala</x:v>
      </x:c>
      <x:c r="F2040" s="30" t="str">
        <x:v>uncommon</x:v>
      </x:c>
      <x:c r="G2040" s="30" t="str">
        <x:v>standard</x:v>
      </x:c>
      <x:c r="H2040" s="30" t="str">
        <x:v>year-round</x:v>
      </x:c>
      <x:c r="I20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1">
      <x:c r="A2041" s="36" t="str">
        <x:v>caribbean</x:v>
      </x:c>
      <x:c r="B2041" s="30" t="str">
        <x:v>caribbean-broad-draft-1</x:v>
      </x:c>
      <x:c r="C2041" s="30" t="n">
        <x:v>4798</x:v>
      </x:c>
      <x:c r="D2041" s="32" t="str">
        <x:v>Piping Plover</x:v>
      </x:c>
      <x:c r="E2041" s="32" t="str">
        <x:v>Charadrius melodus</x:v>
      </x:c>
      <x:c r="F2041" s="30" t="str">
        <x:v>uncommon</x:v>
      </x:c>
      <x:c r="G2041" s="30" t="str">
        <x:v>standard</x:v>
      </x:c>
      <x:c r="H2041" s="30" t="str">
        <x:v>year-round</x:v>
      </x:c>
      <x:c r="I20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2">
      <x:c r="A2042" s="36" t="str">
        <x:v>caribbean</x:v>
      </x:c>
      <x:c r="B2042" s="30" t="str">
        <x:v>caribbean-broad-draft-1</x:v>
      </x:c>
      <x:c r="C2042" s="30" t="n">
        <x:v>5063</x:v>
      </x:c>
      <x:c r="D2042" s="32" t="str">
        <x:v>Anhinga</x:v>
      </x:c>
      <x:c r="E2042" s="32" t="str">
        <x:v>Anhinga anhinga</x:v>
      </x:c>
      <x:c r="F2042" s="30" t="str">
        <x:v>uncommon</x:v>
      </x:c>
      <x:c r="G2042" s="30" t="str">
        <x:v>standard</x:v>
      </x:c>
      <x:c r="H2042" s="30" t="str">
        <x:v>year-round</x:v>
      </x:c>
      <x:c r="I20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3">
      <x:c r="A2043" s="36" t="str">
        <x:v>caribbean</x:v>
      </x:c>
      <x:c r="B2043" s="30" t="str">
        <x:v>caribbean-broad-draft-1</x:v>
      </x:c>
      <x:c r="C2043" s="30" t="n">
        <x:v>1428</x:v>
      </x:c>
      <x:c r="D2043" s="32" t="str">
        <x:v>Helmeted Guineafowl</x:v>
      </x:c>
      <x:c r="E2043" s="32" t="str">
        <x:v>Numida meleagris</x:v>
      </x:c>
      <x:c r="F2043" s="30" t="str">
        <x:v>uncommon</x:v>
      </x:c>
      <x:c r="G2043" s="30" t="str">
        <x:v>standard</x:v>
      </x:c>
      <x:c r="H2043" s="30" t="str">
        <x:v>year-round</x:v>
      </x:c>
      <x:c r="I20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4">
      <x:c r="A2044" s="36" t="str">
        <x:v>caribbean</x:v>
      </x:c>
      <x:c r="B2044" s="30" t="str">
        <x:v>caribbean-broad-draft-1</x:v>
      </x:c>
      <x:c r="C2044" s="30" t="n">
        <x:v>18184</x:v>
      </x:c>
      <x:c r="D2044" s="32" t="str">
        <x:v>Guadeloupe Woodpecker</x:v>
      </x:c>
      <x:c r="E2044" s="32" t="str">
        <x:v>Melanerpes herminieri</x:v>
      </x:c>
      <x:c r="F2044" s="30" t="str">
        <x:v>uncommon</x:v>
      </x:c>
      <x:c r="G2044" s="30" t="str">
        <x:v>standard</x:v>
      </x:c>
      <x:c r="H2044" s="30" t="str">
        <x:v>year-round</x:v>
      </x:c>
      <x:c r="I20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5">
      <x:c r="A2045" s="36" t="str">
        <x:v>caribbean</x:v>
      </x:c>
      <x:c r="B2045" s="30" t="str">
        <x:v>caribbean-broad-draft-1</x:v>
      </x:c>
      <x:c r="C2045" s="30" t="n">
        <x:v>4436</x:v>
      </x:c>
      <x:c r="D2045" s="32" t="str">
        <x:v>Roseate Tern</x:v>
      </x:c>
      <x:c r="E2045" s="32" t="str">
        <x:v>Sterna dougallii</x:v>
      </x:c>
      <x:c r="F2045" s="30" t="str">
        <x:v>uncommon</x:v>
      </x:c>
      <x:c r="G2045" s="30" t="str">
        <x:v>standard</x:v>
      </x:c>
      <x:c r="H2045" s="30" t="str">
        <x:v>year-round</x:v>
      </x:c>
      <x:c r="I20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6">
      <x:c r="A2046" s="36" t="str">
        <x:v>caribbean</x:v>
      </x:c>
      <x:c r="B2046" s="30" t="str">
        <x:v>caribbean-broad-draft-1</x:v>
      </x:c>
      <x:c r="C2046" s="30" t="n">
        <x:v>9288</x:v>
      </x:c>
      <x:c r="D2046" s="32" t="str">
        <x:v>Jamaican Euphonia</x:v>
      </x:c>
      <x:c r="E2046" s="32" t="str">
        <x:v>Euphonia jamaica</x:v>
      </x:c>
      <x:c r="F2046" s="30" t="str">
        <x:v>uncommon</x:v>
      </x:c>
      <x:c r="G2046" s="30" t="str">
        <x:v>standard</x:v>
      </x:c>
      <x:c r="H2046" s="30" t="str">
        <x:v>year-round</x:v>
      </x:c>
      <x:c r="I20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7">
      <x:c r="A2047" s="36" t="str">
        <x:v>caribbean</x:v>
      </x:c>
      <x:c r="B2047" s="30" t="str">
        <x:v>caribbean-broad-draft-1</x:v>
      </x:c>
      <x:c r="C2047" s="30" t="n">
        <x:v>4364</x:v>
      </x:c>
      <x:c r="D2047" s="32" t="str">
        <x:v>Ring-billed Gull</x:v>
      </x:c>
      <x:c r="E2047" s="32" t="str">
        <x:v>Larus delawarensis</x:v>
      </x:c>
      <x:c r="F2047" s="30" t="str">
        <x:v>uncommon</x:v>
      </x:c>
      <x:c r="G2047" s="30" t="str">
        <x:v>standard</x:v>
      </x:c>
      <x:c r="H2047" s="30" t="str">
        <x:v>year-round</x:v>
      </x:c>
      <x:c r="I20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8">
      <x:c r="A2048" s="36" t="str">
        <x:v>caribbean</x:v>
      </x:c>
      <x:c r="B2048" s="30" t="str">
        <x:v>caribbean-broad-draft-1</x:v>
      </x:c>
      <x:c r="C2048" s="30" t="n">
        <x:v>11864</x:v>
      </x:c>
      <x:c r="D2048" s="32" t="str">
        <x:v>Cuban Martin</x:v>
      </x:c>
      <x:c r="E2048" s="32" t="str">
        <x:v>Progne cryptoleuca</x:v>
      </x:c>
      <x:c r="F2048" s="30" t="str">
        <x:v>uncommon</x:v>
      </x:c>
      <x:c r="G2048" s="30" t="str">
        <x:v>standard</x:v>
      </x:c>
      <x:c r="H2048" s="30" t="str">
        <x:v>year-round</x:v>
      </x:c>
      <x:c r="I20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49">
      <x:c r="A2049" s="36" t="str">
        <x:v>caribbean</x:v>
      </x:c>
      <x:c r="B2049" s="30" t="str">
        <x:v>caribbean-broad-draft-1</x:v>
      </x:c>
      <x:c r="C2049" s="30" t="n">
        <x:v>145227</x:v>
      </x:c>
      <x:c r="D2049" s="32" t="str">
        <x:v>Elfin-woods Warbler</x:v>
      </x:c>
      <x:c r="E2049" s="32" t="str">
        <x:v>Setophaga angelae</x:v>
      </x:c>
      <x:c r="F2049" s="30" t="str">
        <x:v>uncommon</x:v>
      </x:c>
      <x:c r="G2049" s="30" t="str">
        <x:v>standard</x:v>
      </x:c>
      <x:c r="H2049" s="30" t="str">
        <x:v>year-round</x:v>
      </x:c>
      <x:c r="I20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0">
      <x:c r="A2050" s="36" t="str">
        <x:v>caribbean</x:v>
      </x:c>
      <x:c r="B2050" s="30" t="str">
        <x:v>caribbean-broad-draft-1</x:v>
      </x:c>
      <x:c r="C2050" s="30" t="n">
        <x:v>3272</x:v>
      </x:c>
      <x:c r="D2050" s="32" t="str">
        <x:v>Caribbean Dove</x:v>
      </x:c>
      <x:c r="E2050" s="32" t="str">
        <x:v>Leptotila jamaicensis</x:v>
      </x:c>
      <x:c r="F2050" s="30" t="str">
        <x:v>uncommon</x:v>
      </x:c>
      <x:c r="G2050" s="30" t="str">
        <x:v>standard</x:v>
      </x:c>
      <x:c r="H2050" s="30" t="str">
        <x:v>year-round</x:v>
      </x:c>
      <x:c r="I20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1">
      <x:c r="A2051" s="36" t="str">
        <x:v>caribbean</x:v>
      </x:c>
      <x:c r="B2051" s="30" t="str">
        <x:v>caribbean-broad-draft-1</x:v>
      </x:c>
      <x:c r="C2051" s="30" t="n">
        <x:v>8051</x:v>
      </x:c>
      <x:c r="D2051" s="32" t="str">
        <x:v>Palm Crow</x:v>
      </x:c>
      <x:c r="E2051" s="32" t="str">
        <x:v>Corvus palmarum</x:v>
      </x:c>
      <x:c r="F2051" s="30" t="str">
        <x:v>uncommon</x:v>
      </x:c>
      <x:c r="G2051" s="30" t="str">
        <x:v>standard</x:v>
      </x:c>
      <x:c r="H2051" s="30" t="str">
        <x:v>year-round</x:v>
      </x:c>
      <x:c r="I20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2">
      <x:c r="A2052" s="36" t="str">
        <x:v>caribbean</x:v>
      </x:c>
      <x:c r="B2052" s="30" t="str">
        <x:v>caribbean-broad-draft-1</x:v>
      </x:c>
      <x:c r="C2052" s="30" t="n">
        <x:v>4578</x:v>
      </x:c>
      <x:c r="D2052" s="32" t="str">
        <x:v>Northern Jacana</x:v>
      </x:c>
      <x:c r="E2052" s="32" t="str">
        <x:v>Jacana spinosa</x:v>
      </x:c>
      <x:c r="F2052" s="30" t="str">
        <x:v>uncommon</x:v>
      </x:c>
      <x:c r="G2052" s="30" t="str">
        <x:v>standard</x:v>
      </x:c>
      <x:c r="H2052" s="30" t="str">
        <x:v>year-round</x:v>
      </x:c>
      <x:c r="I20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3">
      <x:c r="A2053" s="36" t="str">
        <x:v>caribbean</x:v>
      </x:c>
      <x:c r="B2053" s="30" t="str">
        <x:v>caribbean-broad-draft-1</x:v>
      </x:c>
      <x:c r="C2053" s="30" t="n">
        <x:v>8019</x:v>
      </x:c>
      <x:c r="D2053" s="32" t="str">
        <x:v>Cuban Crow</x:v>
      </x:c>
      <x:c r="E2053" s="32" t="str">
        <x:v>Corvus nasicus</x:v>
      </x:c>
      <x:c r="F2053" s="30" t="str">
        <x:v>uncommon</x:v>
      </x:c>
      <x:c r="G2053" s="30" t="str">
        <x:v>standard</x:v>
      </x:c>
      <x:c r="H2053" s="30" t="str">
        <x:v>year-round</x:v>
      </x:c>
      <x:c r="I20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4">
      <x:c r="A2054" s="36" t="str">
        <x:v>caribbean</x:v>
      </x:c>
      <x:c r="B2054" s="30" t="str">
        <x:v>caribbean-broad-draft-1</x:v>
      </x:c>
      <x:c r="C2054" s="30" t="n">
        <x:v>16097</x:v>
      </x:c>
      <x:c r="D2054" s="32" t="str">
        <x:v>Hispaniolan Pewee</x:v>
      </x:c>
      <x:c r="E2054" s="32" t="str">
        <x:v>Contopus hispaniolensis</x:v>
      </x:c>
      <x:c r="F2054" s="30" t="str">
        <x:v>uncommon</x:v>
      </x:c>
      <x:c r="G2054" s="30" t="str">
        <x:v>standard</x:v>
      </x:c>
      <x:c r="H2054" s="30" t="str">
        <x:v>year-round</x:v>
      </x:c>
      <x:c r="I20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5">
      <x:c r="A2055" s="36" t="str">
        <x:v>caribbean</x:v>
      </x:c>
      <x:c r="B2055" s="30" t="str">
        <x:v>caribbean-broad-draft-1</x:v>
      </x:c>
      <x:c r="C2055" s="30" t="n">
        <x:v>9326</x:v>
      </x:c>
      <x:c r="D2055" s="32" t="str">
        <x:v>Hispaniolan Oriole</x:v>
      </x:c>
      <x:c r="E2055" s="32" t="str">
        <x:v>Icterus dominicensis</x:v>
      </x:c>
      <x:c r="F2055" s="30" t="str">
        <x:v>uncommon</x:v>
      </x:c>
      <x:c r="G2055" s="30" t="str">
        <x:v>standard</x:v>
      </x:c>
      <x:c r="H2055" s="30" t="str">
        <x:v>year-round</x:v>
      </x:c>
      <x:c r="I20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6">
      <x:c r="A2056" s="36" t="str">
        <x:v>caribbean</x:v>
      </x:c>
      <x:c r="B2056" s="30" t="str">
        <x:v>caribbean-broad-draft-1</x:v>
      </x:c>
      <x:c r="C2056" s="30" t="n">
        <x:v>4317</x:v>
      </x:c>
      <x:c r="D2056" s="32" t="str">
        <x:v>Red-billed Tropicbird</x:v>
      </x:c>
      <x:c r="E2056" s="32" t="str">
        <x:v>Phaethon aethereus</x:v>
      </x:c>
      <x:c r="F2056" s="30" t="str">
        <x:v>uncommon</x:v>
      </x:c>
      <x:c r="G2056" s="30" t="str">
        <x:v>standard</x:v>
      </x:c>
      <x:c r="H2056" s="30" t="str">
        <x:v>year-round</x:v>
      </x:c>
      <x:c r="I20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7">
      <x:c r="A2057" s="36" t="str">
        <x:v>caribbean</x:v>
      </x:c>
      <x:c r="B2057" s="30" t="str">
        <x:v>caribbean-broad-draft-1</x:v>
      </x:c>
      <x:c r="C2057" s="30" t="n">
        <x:v>4535</x:v>
      </x:c>
      <x:c r="D2057" s="32" t="str">
        <x:v>Brown Noddy</x:v>
      </x:c>
      <x:c r="E2057" s="32" t="str">
        <x:v>Anous stolidus</x:v>
      </x:c>
      <x:c r="F2057" s="30" t="str">
        <x:v>uncommon</x:v>
      </x:c>
      <x:c r="G2057" s="30" t="str">
        <x:v>standard</x:v>
      </x:c>
      <x:c r="H2057" s="30" t="str">
        <x:v>year-round</x:v>
      </x:c>
      <x:c r="I20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8">
      <x:c r="A2058" s="36" t="str">
        <x:v>caribbean</x:v>
      </x:c>
      <x:c r="B2058" s="30" t="str">
        <x:v>caribbean-broad-draft-1</x:v>
      </x:c>
      <x:c r="C2058" s="30" t="n">
        <x:v>1506249</x:v>
      </x:c>
      <x:c r="D2058" s="32" t="str">
        <x:v>Puerto Rican Euphonia</x:v>
      </x:c>
      <x:c r="E2058" s="32" t="str">
        <x:v>Chlorophonia sclateri</x:v>
      </x:c>
      <x:c r="F2058" s="30" t="str">
        <x:v>uncommon</x:v>
      </x:c>
      <x:c r="G2058" s="30" t="str">
        <x:v>standard</x:v>
      </x:c>
      <x:c r="H2058" s="30" t="str">
        <x:v>year-round</x:v>
      </x:c>
      <x:c r="I20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59">
      <x:c r="A2059" s="36" t="str">
        <x:v>caribbean</x:v>
      </x:c>
      <x:c r="B2059" s="30" t="str">
        <x:v>caribbean-broad-draft-1</x:v>
      </x:c>
      <x:c r="C2059" s="30" t="n">
        <x:v>3092</x:v>
      </x:c>
      <x:c r="D2059" s="32" t="str">
        <x:v>Ring-tailed Pigeon</x:v>
      </x:c>
      <x:c r="E2059" s="32" t="str">
        <x:v>Patagioenas caribaea</x:v>
      </x:c>
      <x:c r="F2059" s="30" t="str">
        <x:v>uncommon</x:v>
      </x:c>
      <x:c r="G2059" s="30" t="str">
        <x:v>standard</x:v>
      </x:c>
      <x:c r="H2059" s="30" t="str">
        <x:v>year-round</x:v>
      </x:c>
      <x:c r="I20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0">
      <x:c r="A2060" s="36" t="str">
        <x:v>caribbean</x:v>
      </x:c>
      <x:c r="B2060" s="30" t="str">
        <x:v>caribbean-broad-draft-1</x:v>
      </x:c>
      <x:c r="C2060" s="30" t="n">
        <x:v>16005</x:v>
      </x:c>
      <x:c r="D2060" s="32" t="str">
        <x:v>Rufous-tailed Flycatcher</x:v>
      </x:c>
      <x:c r="E2060" s="32" t="str">
        <x:v>Myiarchus validus</x:v>
      </x:c>
      <x:c r="F2060" s="30" t="str">
        <x:v>uncommon</x:v>
      </x:c>
      <x:c r="G2060" s="30" t="str">
        <x:v>standard</x:v>
      </x:c>
      <x:c r="H2060" s="30" t="str">
        <x:v>year-round</x:v>
      </x:c>
      <x:c r="I20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1">
      <x:c r="A2061" s="36" t="str">
        <x:v>caribbean</x:v>
      </x:c>
      <x:c r="B2061" s="30" t="str">
        <x:v>caribbean-broad-draft-1</x:v>
      </x:c>
      <x:c r="C2061" s="30" t="n">
        <x:v>10262</x:v>
      </x:c>
      <x:c r="D2061" s="32" t="str">
        <x:v>Red-legged Honeycreeper</x:v>
      </x:c>
      <x:c r="E2061" s="32" t="str">
        <x:v>Cyanerpes cyaneus</x:v>
      </x:c>
      <x:c r="F2061" s="30" t="str">
        <x:v>uncommon</x:v>
      </x:c>
      <x:c r="G2061" s="30" t="str">
        <x:v>standard</x:v>
      </x:c>
      <x:c r="H2061" s="30" t="str">
        <x:v>year-round</x:v>
      </x:c>
      <x:c r="I20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2">
      <x:c r="A2062" s="36" t="str">
        <x:v>caribbean</x:v>
      </x:c>
      <x:c r="B2062" s="30" t="str">
        <x:v>caribbean-broad-draft-1</x:v>
      </x:c>
      <x:c r="C2062" s="30" t="n">
        <x:v>145243</x:v>
      </x:c>
      <x:c r="D2062" s="32" t="str">
        <x:v>Olive-capped Warbler</x:v>
      </x:c>
      <x:c r="E2062" s="32" t="str">
        <x:v>Setophaga pityophila</x:v>
      </x:c>
      <x:c r="F2062" s="30" t="str">
        <x:v>uncommon</x:v>
      </x:c>
      <x:c r="G2062" s="30" t="str">
        <x:v>standard</x:v>
      </x:c>
      <x:c r="H2062" s="30" t="str">
        <x:v>year-round</x:v>
      </x:c>
      <x:c r="I20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3">
      <x:c r="A2063" s="36" t="str">
        <x:v>caribbean</x:v>
      </x:c>
      <x:c r="B2063" s="30" t="str">
        <x:v>caribbean-broad-draft-1</x:v>
      </x:c>
      <x:c r="C2063" s="30" t="n">
        <x:v>1289369</x:v>
      </x:c>
      <x:c r="D2063" s="32" t="str">
        <x:v>Hispaniolan Euphonia</x:v>
      </x:c>
      <x:c r="E2063" s="32" t="str">
        <x:v>Chlorophonia musica</x:v>
      </x:c>
      <x:c r="F2063" s="30" t="str">
        <x:v>uncommon</x:v>
      </x:c>
      <x:c r="G2063" s="30" t="str">
        <x:v>standard</x:v>
      </x:c>
      <x:c r="H2063" s="30" t="str">
        <x:v>year-round</x:v>
      </x:c>
      <x:c r="I20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4">
      <x:c r="A2064" s="36" t="str">
        <x:v>caribbean</x:v>
      </x:c>
      <x:c r="B2064" s="30" t="str">
        <x:v>caribbean-broad-draft-1</x:v>
      </x:c>
      <x:c r="C2064" s="30" t="n">
        <x:v>11901</x:v>
      </x:c>
      <x:c r="D2064" s="32" t="str">
        <x:v>Barn Swallow</x:v>
      </x:c>
      <x:c r="E2064" s="32" t="str">
        <x:v>Hirundo rustica</x:v>
      </x:c>
      <x:c r="F2064" s="30" t="str">
        <x:v>uncommon</x:v>
      </x:c>
      <x:c r="G2064" s="30" t="str">
        <x:v>standard</x:v>
      </x:c>
      <x:c r="H2064" s="30" t="str">
        <x:v>year-round</x:v>
      </x:c>
      <x:c r="I20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5">
      <x:c r="A2065" s="36" t="str">
        <x:v>caribbean</x:v>
      </x:c>
      <x:c r="B2065" s="30" t="str">
        <x:v>caribbean-broad-draft-1</x:v>
      </x:c>
      <x:c r="C2065" s="30" t="n">
        <x:v>1578960</x:v>
      </x:c>
      <x:c r="D2065" s="32" t="str">
        <x:v>Least Bittern</x:v>
      </x:c>
      <x:c r="E2065" s="32" t="str">
        <x:v>Botaurus exilis</x:v>
      </x:c>
      <x:c r="F2065" s="30" t="str">
        <x:v>uncommon</x:v>
      </x:c>
      <x:c r="G2065" s="30" t="str">
        <x:v>standard</x:v>
      </x:c>
      <x:c r="H2065" s="30" t="str">
        <x:v>year-round</x:v>
      </x:c>
      <x:c r="I20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6">
      <x:c r="A2066" s="36" t="str">
        <x:v>caribbean</x:v>
      </x:c>
      <x:c r="B2066" s="30" t="str">
        <x:v>caribbean-broad-draft-1</x:v>
      </x:c>
      <x:c r="C2066" s="30" t="n">
        <x:v>367558</x:v>
      </x:c>
      <x:c r="D2066" s="32" t="str">
        <x:v>Orange-fronted Parakeet</x:v>
      </x:c>
      <x:c r="E2066" s="32" t="str">
        <x:v>Eupsittula canicularis</x:v>
      </x:c>
      <x:c r="F2066" s="30" t="str">
        <x:v>uncommon</x:v>
      </x:c>
      <x:c r="G2066" s="30" t="str">
        <x:v>standard</x:v>
      </x:c>
      <x:c r="H2066" s="30" t="str">
        <x:v>year-round</x:v>
      </x:c>
      <x:c r="I20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7">
      <x:c r="A2067" s="36" t="str">
        <x:v>caribbean</x:v>
      </x:c>
      <x:c r="B2067" s="30" t="str">
        <x:v>caribbean-broad-draft-1</x:v>
      </x:c>
      <x:c r="C2067" s="30" t="n">
        <x:v>1188213</x:v>
      </x:c>
      <x:c r="D2067" s="32" t="str">
        <x:v>Hudsonian Whimbrel</x:v>
      </x:c>
      <x:c r="E2067" s="32" t="str">
        <x:v>Numenius hudsonicus</x:v>
      </x:c>
      <x:c r="F2067" s="30" t="str">
        <x:v>uncommon</x:v>
      </x:c>
      <x:c r="G2067" s="30" t="str">
        <x:v>standard</x:v>
      </x:c>
      <x:c r="H2067" s="30" t="str">
        <x:v>year-round</x:v>
      </x:c>
      <x:c r="I20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8">
      <x:c r="A2068" s="36" t="str">
        <x:v>caribbean</x:v>
      </x:c>
      <x:c r="B2068" s="30" t="str">
        <x:v>caribbean-broad-draft-1</x:v>
      </x:c>
      <x:c r="C2068" s="30" t="n">
        <x:v>10422</x:v>
      </x:c>
      <x:c r="D2068" s="32" t="str">
        <x:v>Hispaniolan Crossbill</x:v>
      </x:c>
      <x:c r="E2068" s="32" t="str">
        <x:v>Loxia megaplaga</x:v>
      </x:c>
      <x:c r="F2068" s="30" t="str">
        <x:v>uncommon</x:v>
      </x:c>
      <x:c r="G2068" s="30" t="str">
        <x:v>standard</x:v>
      </x:c>
      <x:c r="H2068" s="30" t="str">
        <x:v>year-round</x:v>
      </x:c>
      <x:c r="I20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69">
      <x:c r="A2069" s="36" t="str">
        <x:v>caribbean</x:v>
      </x:c>
      <x:c r="B2069" s="30" t="str">
        <x:v>caribbean-broad-draft-1</x:v>
      </x:c>
      <x:c r="C2069" s="30" t="n">
        <x:v>12955</x:v>
      </x:c>
      <x:c r="D2069" s="32" t="str">
        <x:v>Cuban Solitaire</x:v>
      </x:c>
      <x:c r="E2069" s="32" t="str">
        <x:v>Myadestes elisabeth</x:v>
      </x:c>
      <x:c r="F2069" s="30" t="str">
        <x:v>uncommon</x:v>
      </x:c>
      <x:c r="G2069" s="30" t="str">
        <x:v>standard</x:v>
      </x:c>
      <x:c r="H2069" s="30" t="str">
        <x:v>year-round</x:v>
      </x:c>
      <x:c r="I20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0">
      <x:c r="A2070" s="36" t="str">
        <x:v>caribbean</x:v>
      </x:c>
      <x:c r="B2070" s="30" t="str">
        <x:v>caribbean-broad-draft-1</x:v>
      </x:c>
      <x:c r="C2070" s="30" t="n">
        <x:v>367574</x:v>
      </x:c>
      <x:c r="D2070" s="32" t="str">
        <x:v>Cuban Parakeet</x:v>
      </x:c>
      <x:c r="E2070" s="32" t="str">
        <x:v>Psittacara euops</x:v>
      </x:c>
      <x:c r="F2070" s="30" t="str">
        <x:v>uncommon</x:v>
      </x:c>
      <x:c r="G2070" s="30" t="str">
        <x:v>standard</x:v>
      </x:c>
      <x:c r="H2070" s="30" t="str">
        <x:v>year-round</x:v>
      </x:c>
      <x:c r="I20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1">
      <x:c r="A2071" s="36" t="str">
        <x:v>caribbean</x:v>
      </x:c>
      <x:c r="B2071" s="30" t="str">
        <x:v>caribbean-broad-draft-1</x:v>
      </x:c>
      <x:c r="C2071" s="30" t="n">
        <x:v>9607</x:v>
      </x:c>
      <x:c r="D2071" s="32" t="str">
        <x:v>Great-tailed Grackle</x:v>
      </x:c>
      <x:c r="E2071" s="32" t="str">
        <x:v>Quiscalus mexicanus</x:v>
      </x:c>
      <x:c r="F2071" s="30" t="str">
        <x:v>uncommon</x:v>
      </x:c>
      <x:c r="G2071" s="30" t="str">
        <x:v>standard</x:v>
      </x:c>
      <x:c r="H2071" s="30" t="str">
        <x:v>year-round</x:v>
      </x:c>
      <x:c r="I20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2">
      <x:c r="A2072" s="36" t="str">
        <x:v>caribbean</x:v>
      </x:c>
      <x:c r="B2072" s="30" t="str">
        <x:v>caribbean-broad-draft-1</x:v>
      </x:c>
      <x:c r="C2072" s="30" t="n">
        <x:v>9601</x:v>
      </x:c>
      <x:c r="D2072" s="32" t="str">
        <x:v>Boat-tailed Grackle</x:v>
      </x:c>
      <x:c r="E2072" s="32" t="str">
        <x:v>Quiscalus major</x:v>
      </x:c>
      <x:c r="F2072" s="30" t="str">
        <x:v>uncommon</x:v>
      </x:c>
      <x:c r="G2072" s="30" t="str">
        <x:v>standard</x:v>
      </x:c>
      <x:c r="H2072" s="30" t="str">
        <x:v>year-round</x:v>
      </x:c>
      <x:c r="I20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3">
      <x:c r="A2073" s="36" t="str">
        <x:v>caribbean</x:v>
      </x:c>
      <x:c r="B2073" s="30" t="str">
        <x:v>caribbean-broad-draft-1</x:v>
      </x:c>
      <x:c r="C2073" s="30" t="n">
        <x:v>204515</x:v>
      </x:c>
      <x:c r="D2073" s="32" t="str">
        <x:v>Gray-fronted Quail-Dove</x:v>
      </x:c>
      <x:c r="E2073" s="32" t="str">
        <x:v>Geotrygon caniceps</x:v>
      </x:c>
      <x:c r="F2073" s="30" t="str">
        <x:v>uncommon</x:v>
      </x:c>
      <x:c r="G2073" s="30" t="str">
        <x:v>standard</x:v>
      </x:c>
      <x:c r="H2073" s="30" t="str">
        <x:v>year-round</x:v>
      </x:c>
      <x:c r="I20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4">
      <x:c r="A2074" s="36" t="str">
        <x:v>caribbean</x:v>
      </x:c>
      <x:c r="B2074" s="30" t="str">
        <x:v>caribbean-broad-draft-1</x:v>
      </x:c>
      <x:c r="C2074" s="30" t="n">
        <x:v>8687</x:v>
      </x:c>
      <x:c r="D2074" s="32" t="str">
        <x:v>Jamaican Becard</x:v>
      </x:c>
      <x:c r="E2074" s="32" t="str">
        <x:v>Pachyramphus niger</x:v>
      </x:c>
      <x:c r="F2074" s="30" t="str">
        <x:v>uncommon</x:v>
      </x:c>
      <x:c r="G2074" s="30" t="str">
        <x:v>standard</x:v>
      </x:c>
      <x:c r="H2074" s="30" t="str">
        <x:v>year-round</x:v>
      </x:c>
      <x:c r="I20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5">
      <x:c r="A2075" s="36" t="str">
        <x:v>caribbean</x:v>
      </x:c>
      <x:c r="B2075" s="30" t="str">
        <x:v>caribbean-broad-draft-1</x:v>
      </x:c>
      <x:c r="C2075" s="30" t="n">
        <x:v>19670</x:v>
      </x:c>
      <x:c r="D2075" s="32" t="str">
        <x:v>Northern Potoo</x:v>
      </x:c>
      <x:c r="E2075" s="32" t="str">
        <x:v>Nyctibius jamaicensis</x:v>
      </x:c>
      <x:c r="F2075" s="30" t="str">
        <x:v>uncommon</x:v>
      </x:c>
      <x:c r="G2075" s="30" t="str">
        <x:v>standard</x:v>
      </x:c>
      <x:c r="H2075" s="30" t="str">
        <x:v>year-round</x:v>
      </x:c>
      <x:c r="I20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6">
      <x:c r="A2076" s="36" t="str">
        <x:v>caribbean</x:v>
      </x:c>
      <x:c r="B2076" s="30" t="str">
        <x:v>caribbean-broad-draft-1</x:v>
      </x:c>
      <x:c r="C2076" s="30" t="n">
        <x:v>145258</x:v>
      </x:c>
      <x:c r="D2076" s="32" t="str">
        <x:v>Black-throated Green Warbler</x:v>
      </x:c>
      <x:c r="E2076" s="32" t="str">
        <x:v>Setophaga virens</x:v>
      </x:c>
      <x:c r="F2076" s="30" t="str">
        <x:v>uncommon</x:v>
      </x:c>
      <x:c r="G2076" s="30" t="str">
        <x:v>standard</x:v>
      </x:c>
      <x:c r="H2076" s="30" t="str">
        <x:v>year-round</x:v>
      </x:c>
      <x:c r="I20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7">
      <x:c r="A2077" s="36" t="str">
        <x:v>caribbean</x:v>
      </x:c>
      <x:c r="B2077" s="30" t="str">
        <x:v>caribbean-broad-draft-1</x:v>
      </x:c>
      <x:c r="C2077" s="30" t="n">
        <x:v>558438</x:v>
      </x:c>
      <x:c r="D2077" s="32" t="str">
        <x:v>Northern Shoveler</x:v>
      </x:c>
      <x:c r="E2077" s="32" t="str">
        <x:v>Spatula clypeata</x:v>
      </x:c>
      <x:c r="F2077" s="30" t="str">
        <x:v>uncommon</x:v>
      </x:c>
      <x:c r="G2077" s="30" t="str">
        <x:v>standard</x:v>
      </x:c>
      <x:c r="H2077" s="30" t="str">
        <x:v>year-round</x:v>
      </x:c>
      <x:c r="I20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8">
      <x:c r="A2078" s="36" t="str">
        <x:v>caribbean</x:v>
      </x:c>
      <x:c r="B2078" s="30" t="str">
        <x:v>caribbean-broad-draft-1</x:v>
      </x:c>
      <x:c r="C2078" s="30" t="n">
        <x:v>7054</x:v>
      </x:c>
      <x:c r="D2078" s="32" t="str">
        <x:v>Lesser Scaup</x:v>
      </x:c>
      <x:c r="E2078" s="32" t="str">
        <x:v>Aythya affinis</x:v>
      </x:c>
      <x:c r="F2078" s="30" t="str">
        <x:v>uncommon</x:v>
      </x:c>
      <x:c r="G2078" s="30" t="str">
        <x:v>standard</x:v>
      </x:c>
      <x:c r="H2078" s="30" t="str">
        <x:v>year-round</x:v>
      </x:c>
      <x:c r="I20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79">
      <x:c r="A2079" s="36" t="str">
        <x:v>caribbean</x:v>
      </x:c>
      <x:c r="B2079" s="30" t="str">
        <x:v>caribbean-broad-draft-1</x:v>
      </x:c>
      <x:c r="C2079" s="30" t="n">
        <x:v>1650088</x:v>
      </x:c>
      <x:c r="D2079" s="32" t="str">
        <x:v>Hispaniolan Elaenia</x:v>
      </x:c>
      <x:c r="E2079" s="32" t="str">
        <x:v>Elaenia cherriei</x:v>
      </x:c>
      <x:c r="F2079" s="30" t="str">
        <x:v>uncommon</x:v>
      </x:c>
      <x:c r="G2079" s="30" t="str">
        <x:v>standard</x:v>
      </x:c>
      <x:c r="H2079" s="30" t="str">
        <x:v>year-round</x:v>
      </x:c>
      <x:c r="I20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0">
      <x:c r="A2080" s="36" t="str">
        <x:v>caribbean</x:v>
      </x:c>
      <x:c r="B2080" s="30" t="str">
        <x:v>caribbean-broad-draft-1</x:v>
      </x:c>
      <x:c r="C2080" s="30" t="n">
        <x:v>201070</x:v>
      </x:c>
      <x:c r="D2080" s="32" t="str">
        <x:v>Puerto Rican Nightjar</x:v>
      </x:c>
      <x:c r="E2080" s="32" t="str">
        <x:v>Antrostomus noctitherus</x:v>
      </x:c>
      <x:c r="F2080" s="30" t="str">
        <x:v>uncommon</x:v>
      </x:c>
      <x:c r="G2080" s="30" t="str">
        <x:v>standard</x:v>
      </x:c>
      <x:c r="H2080" s="30" t="str">
        <x:v>year-round</x:v>
      </x:c>
      <x:c r="I20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1">
      <x:c r="A2081" s="36" t="str">
        <x:v>caribbean</x:v>
      </x:c>
      <x:c r="B2081" s="30" t="str">
        <x:v>caribbean-broad-draft-1</x:v>
      </x:c>
      <x:c r="C2081" s="30" t="n">
        <x:v>145307</x:v>
      </x:c>
      <x:c r="D2081" s="32" t="str">
        <x:v>Antillean Siskin</x:v>
      </x:c>
      <x:c r="E2081" s="32" t="str">
        <x:v>Spinus dominicensis</x:v>
      </x:c>
      <x:c r="F2081" s="30" t="str">
        <x:v>uncommon</x:v>
      </x:c>
      <x:c r="G2081" s="30" t="str">
        <x:v>standard</x:v>
      </x:c>
      <x:c r="H2081" s="30" t="str">
        <x:v>year-round</x:v>
      </x:c>
      <x:c r="I20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2">
      <x:c r="A2082" s="36" t="str">
        <x:v>caribbean</x:v>
      </x:c>
      <x:c r="B2082" s="30" t="str">
        <x:v>caribbean-broad-draft-1</x:v>
      </x:c>
      <x:c r="C2082" s="30" t="n">
        <x:v>3503</x:v>
      </x:c>
      <x:c r="D2082" s="32" t="str">
        <x:v>Ruddy Quail-Dove</x:v>
      </x:c>
      <x:c r="E2082" s="32" t="str">
        <x:v>Geotrygon montana</x:v>
      </x:c>
      <x:c r="F2082" s="30" t="str">
        <x:v>uncommon</x:v>
      </x:c>
      <x:c r="G2082" s="30" t="str">
        <x:v>standard</x:v>
      </x:c>
      <x:c r="H2082" s="30" t="str">
        <x:v>year-round</x:v>
      </x:c>
      <x:c r="I20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3">
      <x:c r="A2083" s="36" t="str">
        <x:v>caribbean</x:v>
      </x:c>
      <x:c r="B2083" s="30" t="str">
        <x:v>caribbean-broad-draft-1</x:v>
      </x:c>
      <x:c r="C2083" s="30" t="n">
        <x:v>18911</x:v>
      </x:c>
      <x:c r="D2083" s="32" t="str">
        <x:v>Rose-ringed Parakeet</x:v>
      </x:c>
      <x:c r="E2083" s="32" t="str">
        <x:v>Psittacula krameri</x:v>
      </x:c>
      <x:c r="F2083" s="30" t="str">
        <x:v>uncommon</x:v>
      </x:c>
      <x:c r="G2083" s="30" t="str">
        <x:v>standard</x:v>
      </x:c>
      <x:c r="H2083" s="30" t="str">
        <x:v>year-round</x:v>
      </x:c>
      <x:c r="I20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4">
      <x:c r="A2084" s="36" t="str">
        <x:v>caribbean</x:v>
      </x:c>
      <x:c r="B2084" s="30" t="str">
        <x:v>caribbean-broad-draft-1</x:v>
      </x:c>
      <x:c r="C2084" s="30" t="n">
        <x:v>20331</x:v>
      </x:c>
      <x:c r="D2084" s="32" t="str">
        <x:v>Stygian Owl</x:v>
      </x:c>
      <x:c r="E2084" s="32" t="str">
        <x:v>Asio stygius</x:v>
      </x:c>
      <x:c r="F2084" s="30" t="str">
        <x:v>uncommon</x:v>
      </x:c>
      <x:c r="G2084" s="30" t="str">
        <x:v>standard</x:v>
      </x:c>
      <x:c r="H2084" s="30" t="str">
        <x:v>year-round</x:v>
      </x:c>
      <x:c r="I20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5">
      <x:c r="A2085" s="36" t="str">
        <x:v>caribbean</x:v>
      </x:c>
      <x:c r="B2085" s="30" t="str">
        <x:v>caribbean-broad-draft-1</x:v>
      </x:c>
      <x:c r="C2085" s="30" t="n">
        <x:v>7044</x:v>
      </x:c>
      <x:c r="D2085" s="32" t="str">
        <x:v>Ring-necked Duck</x:v>
      </x:c>
      <x:c r="E2085" s="32" t="str">
        <x:v>Aythya collaris</x:v>
      </x:c>
      <x:c r="F2085" s="30" t="str">
        <x:v>uncommon</x:v>
      </x:c>
      <x:c r="G2085" s="30" t="str">
        <x:v>standard</x:v>
      </x:c>
      <x:c r="H2085" s="30" t="str">
        <x:v>year-round</x:v>
      </x:c>
      <x:c r="I20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6">
      <x:c r="A2086" s="36" t="str">
        <x:v>caribbean</x:v>
      </x:c>
      <x:c r="B2086" s="30" t="str">
        <x:v>caribbean-broad-draft-1</x:v>
      </x:c>
      <x:c r="C2086" s="30" t="n">
        <x:v>1965</x:v>
      </x:c>
      <x:c r="D2086" s="32" t="str">
        <x:v>Yellow-billed Cuckoo</x:v>
      </x:c>
      <x:c r="E2086" s="32" t="str">
        <x:v>Coccyzus americanus</x:v>
      </x:c>
      <x:c r="F2086" s="30" t="str">
        <x:v>uncommon</x:v>
      </x:c>
      <x:c r="G2086" s="30" t="str">
        <x:v>standard</x:v>
      </x:c>
      <x:c r="H2086" s="30" t="str">
        <x:v>year-round</x:v>
      </x:c>
      <x:c r="I20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7">
      <x:c r="A2087" s="36" t="str">
        <x:v>caribbean</x:v>
      </x:c>
      <x:c r="B2087" s="30" t="str">
        <x:v>caribbean-broad-draft-1</x:v>
      </x:c>
      <x:c r="C2087" s="30" t="n">
        <x:v>7172</x:v>
      </x:c>
      <x:c r="D2087" s="32" t="str">
        <x:v>Masked Duck</x:v>
      </x:c>
      <x:c r="E2087" s="32" t="str">
        <x:v>Nomonyx dominicus</x:v>
      </x:c>
      <x:c r="F2087" s="30" t="str">
        <x:v>uncommon</x:v>
      </x:c>
      <x:c r="G2087" s="30" t="str">
        <x:v>standard</x:v>
      </x:c>
      <x:c r="H2087" s="30" t="str">
        <x:v>year-round</x:v>
      </x:c>
      <x:c r="I20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8">
      <x:c r="A2088" s="36" t="str">
        <x:v>caribbean</x:v>
      </x:c>
      <x:c r="B2088" s="30" t="str">
        <x:v>caribbean-broad-draft-1</x:v>
      </x:c>
      <x:c r="C2088" s="30" t="n">
        <x:v>7493</x:v>
      </x:c>
      <x:c r="D2088" s="32" t="str">
        <x:v>Blue-gray Gnatcatcher</x:v>
      </x:c>
      <x:c r="E2088" s="32" t="str">
        <x:v>Polioptila caerulea</x:v>
      </x:c>
      <x:c r="F2088" s="30" t="str">
        <x:v>uncommon</x:v>
      </x:c>
      <x:c r="G2088" s="30" t="str">
        <x:v>standard</x:v>
      </x:c>
      <x:c r="H2088" s="30" t="str">
        <x:v>year-round</x:v>
      </x:c>
      <x:c r="I20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89">
      <x:c r="A2089" s="36" t="str">
        <x:v>caribbean</x:v>
      </x:c>
      <x:c r="B2089" s="30" t="str">
        <x:v>caribbean-broad-draft-1</x:v>
      </x:c>
      <x:c r="C2089" s="30" t="n">
        <x:v>10597</x:v>
      </x:c>
      <x:c r="D2089" s="32" t="str">
        <x:v>Green-tailed Warbler</x:v>
      </x:c>
      <x:c r="E2089" s="32" t="str">
        <x:v>Microligea palustris</x:v>
      </x:c>
      <x:c r="F2089" s="30" t="str">
        <x:v>uncommon</x:v>
      </x:c>
      <x:c r="G2089" s="30" t="str">
        <x:v>standard</x:v>
      </x:c>
      <x:c r="H2089" s="30" t="str">
        <x:v>year-round</x:v>
      </x:c>
      <x:c r="I20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0">
      <x:c r="A2090" s="36" t="str">
        <x:v>caribbean</x:v>
      </x:c>
      <x:c r="B2090" s="30" t="str">
        <x:v>caribbean-broad-draft-1</x:v>
      </x:c>
      <x:c r="C2090" s="30" t="n">
        <x:v>1578502</x:v>
      </x:c>
      <x:c r="D2090" s="32" t="str">
        <x:v>American Barn Owl</x:v>
      </x:c>
      <x:c r="E2090" s="32" t="str">
        <x:v>Tyto furcata</x:v>
      </x:c>
      <x:c r="F2090" s="30" t="str">
        <x:v>uncommon</x:v>
      </x:c>
      <x:c r="G2090" s="30" t="str">
        <x:v>standard</x:v>
      </x:c>
      <x:c r="H2090" s="30" t="str">
        <x:v>year-round</x:v>
      </x:c>
      <x:c r="I20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1">
      <x:c r="A2091" s="36" t="str">
        <x:v>caribbean</x:v>
      </x:c>
      <x:c r="B2091" s="30" t="str">
        <x:v>caribbean-broad-draft-1</x:v>
      </x:c>
      <x:c r="C2091" s="30" t="n">
        <x:v>1578489</x:v>
      </x:c>
      <x:c r="D2091" s="32" t="str">
        <x:v>American Herring Gull</x:v>
      </x:c>
      <x:c r="E2091" s="32" t="str">
        <x:v>Larus smithsonianus</x:v>
      </x:c>
      <x:c r="F2091" s="30" t="str">
        <x:v>uncommon</x:v>
      </x:c>
      <x:c r="G2091" s="30" t="str">
        <x:v>standard</x:v>
      </x:c>
      <x:c r="H2091" s="30" t="str">
        <x:v>year-round</x:v>
      </x:c>
      <x:c r="I20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2">
      <x:c r="A2092" s="36" t="str">
        <x:v>caribbean</x:v>
      </x:c>
      <x:c r="B2092" s="30" t="str">
        <x:v>caribbean-broad-draft-1</x:v>
      </x:c>
      <x:c r="C2092" s="30" t="n">
        <x:v>1289584</x:v>
      </x:c>
      <x:c r="D2092" s="32" t="str">
        <x:v>Jamaican Owl</x:v>
      </x:c>
      <x:c r="E2092" s="32" t="str">
        <x:v>Asio grammicus</x:v>
      </x:c>
      <x:c r="F2092" s="30" t="str">
        <x:v>uncommon</x:v>
      </x:c>
      <x:c r="G2092" s="30" t="str">
        <x:v>standard</x:v>
      </x:c>
      <x:c r="H2092" s="30" t="str">
        <x:v>year-round</x:v>
      </x:c>
      <x:c r="I20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3">
      <x:c r="A2093" s="36" t="str">
        <x:v>caribbean</x:v>
      </x:c>
      <x:c r="B2093" s="30" t="str">
        <x:v>caribbean-broad-draft-1</x:v>
      </x:c>
      <x:c r="C2093" s="30" t="n">
        <x:v>16101</x:v>
      </x:c>
      <x:c r="D2093" s="32" t="str">
        <x:v>Jamaican Pewee</x:v>
      </x:c>
      <x:c r="E2093" s="32" t="str">
        <x:v>Contopus pallidus</x:v>
      </x:c>
      <x:c r="F2093" s="30" t="str">
        <x:v>uncommon</x:v>
      </x:c>
      <x:c r="G2093" s="30" t="str">
        <x:v>standard</x:v>
      </x:c>
      <x:c r="H2093" s="30" t="str">
        <x:v>year-round</x:v>
      </x:c>
      <x:c r="I20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4">
      <x:c r="A2094" s="36" t="str">
        <x:v>caribbean</x:v>
      </x:c>
      <x:c r="B2094" s="30" t="str">
        <x:v>caribbean-broad-draft-1</x:v>
      </x:c>
      <x:c r="C2094" s="30" t="n">
        <x:v>145240</x:v>
      </x:c>
      <x:c r="D2094" s="32" t="str">
        <x:v>Blackpoll Warbler</x:v>
      </x:c>
      <x:c r="E2094" s="32" t="str">
        <x:v>Setophaga striata</x:v>
      </x:c>
      <x:c r="F2094" s="30" t="str">
        <x:v>uncommon</x:v>
      </x:c>
      <x:c r="G2094" s="30" t="str">
        <x:v>standard</x:v>
      </x:c>
      <x:c r="H2094" s="30" t="str">
        <x:v>year-round</x:v>
      </x:c>
      <x:c r="I20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5">
      <x:c r="A2095" s="36" t="str">
        <x:v>caribbean</x:v>
      </x:c>
      <x:c r="B2095" s="30" t="str">
        <x:v>caribbean-broad-draft-1</x:v>
      </x:c>
      <x:c r="C2095" s="30" t="n">
        <x:v>9744</x:v>
      </x:c>
      <x:c r="D2095" s="32" t="str">
        <x:v>Red-winged Blackbird</x:v>
      </x:c>
      <x:c r="E2095" s="32" t="str">
        <x:v>Agelaius phoeniceus</x:v>
      </x:c>
      <x:c r="F2095" s="30" t="str">
        <x:v>uncommon</x:v>
      </x:c>
      <x:c r="G2095" s="30" t="str">
        <x:v>standard</x:v>
      </x:c>
      <x:c r="H2095" s="30" t="str">
        <x:v>year-round</x:v>
      </x:c>
      <x:c r="I20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6">
      <x:c r="A2096" s="36" t="str">
        <x:v>caribbean</x:v>
      </x:c>
      <x:c r="B2096" s="30" t="str">
        <x:v>caribbean-broad-draft-1</x:v>
      </x:c>
      <x:c r="C2096" s="30" t="n">
        <x:v>4334</x:v>
      </x:c>
      <x:c r="D2096" s="32" t="str">
        <x:v>American White Pelican</x:v>
      </x:c>
      <x:c r="E2096" s="32" t="str">
        <x:v>Pelecanus erythrorhynchos</x:v>
      </x:c>
      <x:c r="F2096" s="30" t="str">
        <x:v>uncommon</x:v>
      </x:c>
      <x:c r="G2096" s="30" t="str">
        <x:v>standard</x:v>
      </x:c>
      <x:c r="H2096" s="30" t="str">
        <x:v>year-round</x:v>
      </x:c>
      <x:c r="I20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7">
      <x:c r="A2097" s="36" t="str">
        <x:v>caribbean</x:v>
      </x:c>
      <x:c r="B2097" s="30" t="str">
        <x:v>caribbean-broad-draft-1</x:v>
      </x:c>
      <x:c r="C2097" s="30" t="n">
        <x:v>5349</x:v>
      </x:c>
      <x:c r="D2097" s="32" t="str">
        <x:v>Snail Kite</x:v>
      </x:c>
      <x:c r="E2097" s="32" t="str">
        <x:v>Rostrhamus sociabilis</x:v>
      </x:c>
      <x:c r="F2097" s="30" t="str">
        <x:v>uncommon</x:v>
      </x:c>
      <x:c r="G2097" s="30" t="str">
        <x:v>standard</x:v>
      </x:c>
      <x:c r="H2097" s="30" t="str">
        <x:v>year-round</x:v>
      </x:c>
      <x:c r="I20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8">
      <x:c r="A2098" s="36" t="str">
        <x:v>caribbean</x:v>
      </x:c>
      <x:c r="B2098" s="30" t="str">
        <x:v>caribbean-broad-draft-1</x:v>
      </x:c>
      <x:c r="C2098" s="30" t="n">
        <x:v>1435192</x:v>
      </x:c>
      <x:c r="D2098" s="32" t="str">
        <x:v>Black-billed Streamertail</x:v>
      </x:c>
      <x:c r="E2098" s="32" t="str">
        <x:v>Trochilus scitulus</x:v>
      </x:c>
      <x:c r="F2098" s="30" t="str">
        <x:v>uncommon</x:v>
      </x:c>
      <x:c r="G2098" s="30" t="str">
        <x:v>standard</x:v>
      </x:c>
      <x:c r="H2098" s="30" t="str">
        <x:v>year-round</x:v>
      </x:c>
      <x:c r="I20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099">
      <x:c r="A2099" s="36" t="str">
        <x:v>caribbean</x:v>
      </x:c>
      <x:c r="B2099" s="30" t="str">
        <x:v>caribbean-broad-draft-1</x:v>
      </x:c>
      <x:c r="C2099" s="30" t="n">
        <x:v>4450</x:v>
      </x:c>
      <x:c r="D2099" s="32" t="str">
        <x:v>Common Tern</x:v>
      </x:c>
      <x:c r="E2099" s="32" t="str">
        <x:v>Sterna hirundo</x:v>
      </x:c>
      <x:c r="F2099" s="30" t="str">
        <x:v>uncommon</x:v>
      </x:c>
      <x:c r="G2099" s="30" t="str">
        <x:v>standard</x:v>
      </x:c>
      <x:c r="H2099" s="30" t="str">
        <x:v>year-round</x:v>
      </x:c>
      <x:c r="I20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0">
      <x:c r="A2100" s="36" t="str">
        <x:v>caribbean</x:v>
      </x:c>
      <x:c r="B2100" s="30" t="str">
        <x:v>caribbean-broad-draft-1</x:v>
      </x:c>
      <x:c r="C2100" s="30" t="n">
        <x:v>20436</x:v>
      </x:c>
      <x:c r="D2100" s="32" t="str">
        <x:v>Ashy-faced Owl</x:v>
      </x:c>
      <x:c r="E2100" s="32" t="str">
        <x:v>Tyto glaucops</x:v>
      </x:c>
      <x:c r="F2100" s="30" t="str">
        <x:v>uncommon</x:v>
      </x:c>
      <x:c r="G2100" s="30" t="str">
        <x:v>standard</x:v>
      </x:c>
      <x:c r="H2100" s="30" t="str">
        <x:v>year-round</x:v>
      </x:c>
      <x:c r="I21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1">
      <x:c r="A2101" s="36" t="str">
        <x:v>caribbean</x:v>
      </x:c>
      <x:c r="B2101" s="30" t="str">
        <x:v>caribbean-broad-draft-1</x:v>
      </x:c>
      <x:c r="C2101" s="30" t="n">
        <x:v>17370</x:v>
      </x:c>
      <x:c r="D2101" s="32" t="str">
        <x:v>Jamaican Vireo</x:v>
      </x:c>
      <x:c r="E2101" s="32" t="str">
        <x:v>Vireo modestus</x:v>
      </x:c>
      <x:c r="F2101" s="30" t="str">
        <x:v>uncommon</x:v>
      </x:c>
      <x:c r="G2101" s="30" t="str">
        <x:v>standard</x:v>
      </x:c>
      <x:c r="H2101" s="30" t="str">
        <x:v>year-round</x:v>
      </x:c>
      <x:c r="I21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2">
      <x:c r="A2102" s="36" t="str">
        <x:v>caribbean</x:v>
      </x:c>
      <x:c r="B2102" s="30" t="str">
        <x:v>caribbean-broad-draft-1</x:v>
      </x:c>
      <x:c r="C2102" s="30" t="n">
        <x:v>3515</x:v>
      </x:c>
      <x:c r="D2102" s="32" t="str">
        <x:v>Crested Quail-Dove</x:v>
      </x:c>
      <x:c r="E2102" s="32" t="str">
        <x:v>Geotrygon versicolor</x:v>
      </x:c>
      <x:c r="F2102" s="30" t="str">
        <x:v>uncommon</x:v>
      </x:c>
      <x:c r="G2102" s="30" t="str">
        <x:v>standard</x:v>
      </x:c>
      <x:c r="H2102" s="30" t="str">
        <x:v>year-round</x:v>
      </x:c>
      <x:c r="I21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3">
      <x:c r="A2103" s="36" t="str">
        <x:v>caribbean</x:v>
      </x:c>
      <x:c r="B2103" s="30" t="str">
        <x:v>caribbean-broad-draft-1</x:v>
      </x:c>
      <x:c r="C2103" s="30" t="n">
        <x:v>7610</x:v>
      </x:c>
      <x:c r="D2103" s="32" t="str">
        <x:v>Zapata Wren</x:v>
      </x:c>
      <x:c r="E2103" s="32" t="str">
        <x:v>Ferminia cerverai</x:v>
      </x:c>
      <x:c r="F2103" s="30" t="str">
        <x:v>uncommon</x:v>
      </x:c>
      <x:c r="G2103" s="30" t="str">
        <x:v>standard</x:v>
      </x:c>
      <x:c r="H2103" s="30" t="str">
        <x:v>year-round</x:v>
      </x:c>
      <x:c r="I21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4">
      <x:c r="A2104" s="36" t="str">
        <x:v>caribbean</x:v>
      </x:c>
      <x:c r="B2104" s="30" t="str">
        <x:v>caribbean-broad-draft-1</x:v>
      </x:c>
      <x:c r="C2104" s="30" t="n">
        <x:v>18989</x:v>
      </x:c>
      <x:c r="D2104" s="32" t="str">
        <x:v>Black-billed Amazon</x:v>
      </x:c>
      <x:c r="E2104" s="32" t="str">
        <x:v>Amazona agilis</x:v>
      </x:c>
      <x:c r="F2104" s="30" t="str">
        <x:v>uncommon</x:v>
      </x:c>
      <x:c r="G2104" s="30" t="str">
        <x:v>standard</x:v>
      </x:c>
      <x:c r="H2104" s="30" t="str">
        <x:v>year-round</x:v>
      </x:c>
      <x:c r="I21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5">
      <x:c r="A2105" s="36" t="str">
        <x:v>caribbean</x:v>
      </x:c>
      <x:c r="B2105" s="30" t="str">
        <x:v>caribbean-broad-draft-1</x:v>
      </x:c>
      <x:c r="C2105" s="30" t="n">
        <x:v>10227</x:v>
      </x:c>
      <x:c r="D2105" s="32" t="str">
        <x:v>Indigo Bunting</x:v>
      </x:c>
      <x:c r="E2105" s="32" t="str">
        <x:v>Passerina cyanea</x:v>
      </x:c>
      <x:c r="F2105" s="30" t="str">
        <x:v>uncommon</x:v>
      </x:c>
      <x:c r="G2105" s="30" t="str">
        <x:v>standard</x:v>
      </x:c>
      <x:c r="H2105" s="30" t="str">
        <x:v>year-round</x:v>
      </x:c>
      <x:c r="I21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6">
      <x:c r="A2106" s="36" t="str">
        <x:v>caribbean</x:v>
      </x:c>
      <x:c r="B2106" s="30" t="str">
        <x:v>caribbean-broad-draft-1</x:v>
      </x:c>
      <x:c r="C2106" s="30" t="n">
        <x:v>15047</x:v>
      </x:c>
      <x:c r="D2106" s="32" t="str">
        <x:v>Martinique thrasher</x:v>
      </x:c>
      <x:c r="E2106" s="32" t="str">
        <x:v>Ramphocinclus brachyurus</x:v>
      </x:c>
      <x:c r="F2106" s="30" t="str">
        <x:v>uncommon</x:v>
      </x:c>
      <x:c r="G2106" s="30" t="str">
        <x:v>standard</x:v>
      </x:c>
      <x:c r="H2106" s="30" t="str">
        <x:v>year-round</x:v>
      </x:c>
      <x:c r="I21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7">
      <x:c r="A2107" s="36" t="str">
        <x:v>caribbean</x:v>
      </x:c>
      <x:c r="B2107" s="30" t="str">
        <x:v>caribbean-broad-draft-1</x:v>
      </x:c>
      <x:c r="C2107" s="30" t="n">
        <x:v>145226</x:v>
      </x:c>
      <x:c r="D2107" s="32" t="str">
        <x:v>Plumbeous Warbler</x:v>
      </x:c>
      <x:c r="E2107" s="32" t="str">
        <x:v>Setophaga plumbea</x:v>
      </x:c>
      <x:c r="F2107" s="30" t="str">
        <x:v>uncommon</x:v>
      </x:c>
      <x:c r="G2107" s="30" t="str">
        <x:v>standard</x:v>
      </x:c>
      <x:c r="H2107" s="30" t="str">
        <x:v>year-round</x:v>
      </x:c>
      <x:c r="I21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8">
      <x:c r="A2108" s="36" t="str">
        <x:v>caribbean</x:v>
      </x:c>
      <x:c r="B2108" s="30" t="str">
        <x:v>caribbean-broad-draft-1</x:v>
      </x:c>
      <x:c r="C2108" s="30" t="n">
        <x:v>72746</x:v>
      </x:c>
      <x:c r="D2108" s="32" t="str">
        <x:v>Jamaican Lizard-Cuckoo</x:v>
      </x:c>
      <x:c r="E2108" s="32" t="str">
        <x:v>Coccyzus vetula</x:v>
      </x:c>
      <x:c r="F2108" s="30" t="str">
        <x:v>uncommon</x:v>
      </x:c>
      <x:c r="G2108" s="30" t="str">
        <x:v>standard</x:v>
      </x:c>
      <x:c r="H2108" s="30" t="str">
        <x:v>year-round</x:v>
      </x:c>
      <x:c r="I21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09">
      <x:c r="A2109" s="36" t="str">
        <x:v>caribbean</x:v>
      </x:c>
      <x:c r="B2109" s="30" t="str">
        <x:v>caribbean-broad-draft-1</x:v>
      </x:c>
      <x:c r="C2109" s="30" t="n">
        <x:v>10205</x:v>
      </x:c>
      <x:c r="D2109" s="32" t="str">
        <x:v>Yellow-shouldered Grassquit</x:v>
      </x:c>
      <x:c r="E2109" s="32" t="str">
        <x:v>Loxipasser anoxanthus</x:v>
      </x:c>
      <x:c r="F2109" s="30" t="str">
        <x:v>uncommon</x:v>
      </x:c>
      <x:c r="G2109" s="30" t="str">
        <x:v>standard</x:v>
      </x:c>
      <x:c r="H2109" s="30" t="str">
        <x:v>year-round</x:v>
      </x:c>
      <x:c r="I21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0">
      <x:c r="A2110" s="36" t="str">
        <x:v>caribbean</x:v>
      </x:c>
      <x:c r="B2110" s="30" t="str">
        <x:v>caribbean-broad-draft-1</x:v>
      </x:c>
      <x:c r="C2110" s="30" t="n">
        <x:v>162</x:v>
      </x:c>
      <x:c r="D2110" s="32" t="str">
        <x:v>Sora</x:v>
      </x:c>
      <x:c r="E2110" s="32" t="str">
        <x:v>Porzana carolina</x:v>
      </x:c>
      <x:c r="F2110" s="30" t="str">
        <x:v>uncommon</x:v>
      </x:c>
      <x:c r="G2110" s="30" t="str">
        <x:v>standard</x:v>
      </x:c>
      <x:c r="H2110" s="30" t="str">
        <x:v>year-round</x:v>
      </x:c>
      <x:c r="I21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1">
      <x:c r="A2111" s="36" t="str">
        <x:v>caribbean</x:v>
      </x:c>
      <x:c r="B2111" s="30" t="str">
        <x:v>caribbean-broad-draft-1</x:v>
      </x:c>
      <x:c r="C2111" s="30" t="n">
        <x:v>16801</x:v>
      </x:c>
      <x:c r="D2111" s="32" t="str">
        <x:v>Giant Kingbird</x:v>
      </x:c>
      <x:c r="E2111" s="32" t="str">
        <x:v>Tyrannus cubensis</x:v>
      </x:c>
      <x:c r="F2111" s="30" t="str">
        <x:v>uncommon</x:v>
      </x:c>
      <x:c r="G2111" s="30" t="str">
        <x:v>standard</x:v>
      </x:c>
      <x:c r="H2111" s="30" t="str">
        <x:v>year-round</x:v>
      </x:c>
      <x:c r="I21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2">
      <x:c r="A2112" s="36" t="str">
        <x:v>caribbean</x:v>
      </x:c>
      <x:c r="B2112" s="30" t="str">
        <x:v>caribbean-broad-draft-1</x:v>
      </x:c>
      <x:c r="C2112" s="30" t="n">
        <x:v>1505663</x:v>
      </x:c>
      <x:c r="D2112" s="32" t="str">
        <x:v>Snowy Plover</x:v>
      </x:c>
      <x:c r="E2112" s="32" t="str">
        <x:v>Anarhynchus nivosus</x:v>
      </x:c>
      <x:c r="F2112" s="30" t="str">
        <x:v>uncommon</x:v>
      </x:c>
      <x:c r="G2112" s="30" t="str">
        <x:v>standard</x:v>
      </x:c>
      <x:c r="H2112" s="30" t="str">
        <x:v>year-round</x:v>
      </x:c>
      <x:c r="I21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3">
      <x:c r="A2113" s="36" t="str">
        <x:v>caribbean</x:v>
      </x:c>
      <x:c r="B2113" s="30" t="str">
        <x:v>caribbean-broad-draft-1</x:v>
      </x:c>
      <x:c r="C2113" s="30" t="n">
        <x:v>144536</x:v>
      </x:c>
      <x:c r="D2113" s="32" t="str">
        <x:v>Gull-billed Tern</x:v>
      </x:c>
      <x:c r="E2113" s="32" t="str">
        <x:v>Gelochelidon nilotica</x:v>
      </x:c>
      <x:c r="F2113" s="30" t="str">
        <x:v>uncommon</x:v>
      </x:c>
      <x:c r="G2113" s="30" t="str">
        <x:v>standard</x:v>
      </x:c>
      <x:c r="H2113" s="30" t="str">
        <x:v>year-round</x:v>
      </x:c>
      <x:c r="I21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4">
      <x:c r="A2114" s="36" t="str">
        <x:v>caribbean</x:v>
      </x:c>
      <x:c r="B2114" s="30" t="str">
        <x:v>caribbean-broad-draft-1</x:v>
      </x:c>
      <x:c r="C2114" s="30" t="n">
        <x:v>144537</x:v>
      </x:c>
      <x:c r="D2114" s="32" t="str">
        <x:v>Caspian Tern</x:v>
      </x:c>
      <x:c r="E2114" s="32" t="str">
        <x:v>Hydroprogne caspia</x:v>
      </x:c>
      <x:c r="F2114" s="30" t="str">
        <x:v>rare</x:v>
      </x:c>
      <x:c r="G2114" s="30" t="str">
        <x:v>standard</x:v>
      </x:c>
      <x:c r="H2114" s="30" t="str">
        <x:v>year-round</x:v>
      </x:c>
      <x:c r="I21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5">
      <x:c r="A2115" s="36" t="str">
        <x:v>caribbean</x:v>
      </x:c>
      <x:c r="B2115" s="30" t="str">
        <x:v>caribbean-broad-draft-1</x:v>
      </x:c>
      <x:c r="C2115" s="30" t="n">
        <x:v>144525</x:v>
      </x:c>
      <x:c r="D2115" s="32" t="str">
        <x:v>Sooty Tern</x:v>
      </x:c>
      <x:c r="E2115" s="32" t="str">
        <x:v>Onychoprion fuscatus</x:v>
      </x:c>
      <x:c r="F2115" s="30" t="str">
        <x:v>rare</x:v>
      </x:c>
      <x:c r="G2115" s="30" t="str">
        <x:v>standard</x:v>
      </x:c>
      <x:c r="H2115" s="30" t="str">
        <x:v>year-round</x:v>
      </x:c>
      <x:c r="I21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6">
      <x:c r="A2116" s="36" t="str">
        <x:v>caribbean</x:v>
      </x:c>
      <x:c r="B2116" s="30" t="str">
        <x:v>caribbean-broad-draft-1</x:v>
      </x:c>
      <x:c r="C2116" s="30" t="n">
        <x:v>72912</x:v>
      </x:c>
      <x:c r="D2116" s="32" t="str">
        <x:v>Worm-eating Warbler</x:v>
      </x:c>
      <x:c r="E2116" s="32" t="str">
        <x:v>Helmitheros vermivorum</x:v>
      </x:c>
      <x:c r="F2116" s="30" t="str">
        <x:v>rare</x:v>
      </x:c>
      <x:c r="G2116" s="30" t="str">
        <x:v>standard</x:v>
      </x:c>
      <x:c r="H2116" s="30" t="str">
        <x:v>year-round</x:v>
      </x:c>
      <x:c r="I21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7">
      <x:c r="A2117" s="36" t="str">
        <x:v>caribbean</x:v>
      </x:c>
      <x:c r="B2117" s="30" t="str">
        <x:v>caribbean-broad-draft-1</x:v>
      </x:c>
      <x:c r="C2117" s="30" t="n">
        <x:v>145229</x:v>
      </x:c>
      <x:c r="D2117" s="32" t="str">
        <x:v>Hooded Warbler</x:v>
      </x:c>
      <x:c r="E2117" s="32" t="str">
        <x:v>Setophaga citrina</x:v>
      </x:c>
      <x:c r="F2117" s="30" t="str">
        <x:v>rare</x:v>
      </x:c>
      <x:c r="G2117" s="30" t="str">
        <x:v>standard</x:v>
      </x:c>
      <x:c r="H2117" s="30" t="str">
        <x:v>year-round</x:v>
      </x:c>
      <x:c r="I21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8">
      <x:c r="A2118" s="36" t="str">
        <x:v>caribbean</x:v>
      </x:c>
      <x:c r="B2118" s="30" t="str">
        <x:v>caribbean-broad-draft-1</x:v>
      </x:c>
      <x:c r="C2118" s="30" t="n">
        <x:v>145228</x:v>
      </x:c>
      <x:c r="D2118" s="32" t="str">
        <x:v>Arrowhead Warbler</x:v>
      </x:c>
      <x:c r="E2118" s="32" t="str">
        <x:v>Setophaga pharetra</x:v>
      </x:c>
      <x:c r="F2118" s="30" t="str">
        <x:v>rare</x:v>
      </x:c>
      <x:c r="G2118" s="30" t="str">
        <x:v>standard</x:v>
      </x:c>
      <x:c r="H2118" s="30" t="str">
        <x:v>year-round</x:v>
      </x:c>
      <x:c r="I21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19">
      <x:c r="A2119" s="36" t="str">
        <x:v>caribbean</x:v>
      </x:c>
      <x:c r="B2119" s="30" t="str">
        <x:v>caribbean-broad-draft-1</x:v>
      </x:c>
      <x:c r="C2119" s="30" t="n">
        <x:v>9762</x:v>
      </x:c>
      <x:c r="D2119" s="32" t="str">
        <x:v>Red-shouldered Blackbird</x:v>
      </x:c>
      <x:c r="E2119" s="32" t="str">
        <x:v>Agelaius assimilis</x:v>
      </x:c>
      <x:c r="F2119" s="30" t="str">
        <x:v>rare</x:v>
      </x:c>
      <x:c r="G2119" s="30" t="str">
        <x:v>standard</x:v>
      </x:c>
      <x:c r="H2119" s="30" t="str">
        <x:v>year-round</x:v>
      </x:c>
      <x:c r="I21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0">
      <x:c r="A2120" s="36" t="str">
        <x:v>caribbean</x:v>
      </x:c>
      <x:c r="B2120" s="30" t="str">
        <x:v>caribbean-broad-draft-1</x:v>
      </x:c>
      <x:c r="C2120" s="30" t="n">
        <x:v>1579014</x:v>
      </x:c>
      <x:c r="D2120" s="32" t="str">
        <x:v>Gundlach's Hawk</x:v>
      </x:c>
      <x:c r="E2120" s="32" t="str">
        <x:v>Astur gundlachi</x:v>
      </x:c>
      <x:c r="F2120" s="30" t="str">
        <x:v>rare</x:v>
      </x:c>
      <x:c r="G2120" s="30" t="str">
        <x:v>standard</x:v>
      </x:c>
      <x:c r="H2120" s="30" t="str">
        <x:v>year-round</x:v>
      </x:c>
      <x:c r="I21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1">
      <x:c r="A2121" s="36" t="str">
        <x:v>caribbean</x:v>
      </x:c>
      <x:c r="B2121" s="30" t="str">
        <x:v>caribbean-broad-draft-1</x:v>
      </x:c>
      <x:c r="C2121" s="30" t="n">
        <x:v>17365</x:v>
      </x:c>
      <x:c r="D2121" s="32" t="str">
        <x:v>Yellow-throated Vireo</x:v>
      </x:c>
      <x:c r="E2121" s="32" t="str">
        <x:v>Vireo flavifrons</x:v>
      </x:c>
      <x:c r="F2121" s="30" t="str">
        <x:v>rare</x:v>
      </x:c>
      <x:c r="G2121" s="30" t="str">
        <x:v>standard</x:v>
      </x:c>
      <x:c r="H2121" s="30" t="str">
        <x:v>year-round</x:v>
      </x:c>
      <x:c r="I21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2">
      <x:c r="A2122" s="36" t="str">
        <x:v>caribbean</x:v>
      </x:c>
      <x:c r="B2122" s="30" t="str">
        <x:v>caribbean-broad-draft-1</x:v>
      </x:c>
      <x:c r="C2122" s="30" t="n">
        <x:v>10619</x:v>
      </x:c>
      <x:c r="D2122" s="32" t="str">
        <x:v>Jamaican Blackbird</x:v>
      </x:c>
      <x:c r="E2122" s="32" t="str">
        <x:v>Nesopsar nigerrimus</x:v>
      </x:c>
      <x:c r="F2122" s="30" t="str">
        <x:v>rare</x:v>
      </x:c>
      <x:c r="G2122" s="30" t="str">
        <x:v>standard</x:v>
      </x:c>
      <x:c r="H2122" s="30" t="str">
        <x:v>year-round</x:v>
      </x:c>
      <x:c r="I21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3">
      <x:c r="A2123" s="36" t="str">
        <x:v>caribbean</x:v>
      </x:c>
      <x:c r="B2123" s="30" t="str">
        <x:v>caribbean-broad-draft-1</x:v>
      </x:c>
      <x:c r="C2123" s="30" t="n">
        <x:v>3866</x:v>
      </x:c>
      <x:c r="D2123" s="32" t="str">
        <x:v>White-rumped Sandpiper</x:v>
      </x:c>
      <x:c r="E2123" s="32" t="str">
        <x:v>Calidris fuscicollis</x:v>
      </x:c>
      <x:c r="F2123" s="30" t="str">
        <x:v>rare</x:v>
      </x:c>
      <x:c r="G2123" s="30" t="str">
        <x:v>standard</x:v>
      </x:c>
      <x:c r="H2123" s="30" t="str">
        <x:v>year-round</x:v>
      </x:c>
      <x:c r="I21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4">
      <x:c r="A2124" s="36" t="str">
        <x:v>caribbean</x:v>
      </x:c>
      <x:c r="B2124" s="30" t="str">
        <x:v>caribbean-broad-draft-1</x:v>
      </x:c>
      <x:c r="C2124" s="30" t="n">
        <x:v>72744</x:v>
      </x:c>
      <x:c r="D2124" s="32" t="str">
        <x:v>Chestnut-bellied Cuckoo</x:v>
      </x:c>
      <x:c r="E2124" s="32" t="str">
        <x:v>Coccyzus pluvialis</x:v>
      </x:c>
      <x:c r="F2124" s="30" t="str">
        <x:v>rare</x:v>
      </x:c>
      <x:c r="G2124" s="30" t="str">
        <x:v>standard</x:v>
      </x:c>
      <x:c r="H2124" s="30" t="str">
        <x:v>year-round</x:v>
      </x:c>
      <x:c r="I21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5">
      <x:c r="A2125" s="36" t="str">
        <x:v>caribbean</x:v>
      </x:c>
      <x:c r="B2125" s="30" t="str">
        <x:v>caribbean-broad-draft-1</x:v>
      </x:c>
      <x:c r="C2125" s="30" t="n">
        <x:v>72745</x:v>
      </x:c>
      <x:c r="D2125" s="32" t="str">
        <x:v>Bay-breasted Cuckoo</x:v>
      </x:c>
      <x:c r="E2125" s="32" t="str">
        <x:v>Coccyzus rufigularis</x:v>
      </x:c>
      <x:c r="F2125" s="30" t="str">
        <x:v>rare</x:v>
      </x:c>
      <x:c r="G2125" s="30" t="str">
        <x:v>standard</x:v>
      </x:c>
      <x:c r="H2125" s="30" t="str">
        <x:v>year-round</x:v>
      </x:c>
      <x:c r="I21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6">
      <x:c r="A2126" s="36" t="str">
        <x:v>caribbean</x:v>
      </x:c>
      <x:c r="B2126" s="30" t="str">
        <x:v>caribbean-broad-draft-1</x:v>
      </x:c>
      <x:c r="C2126" s="30" t="n">
        <x:v>12950</x:v>
      </x:c>
      <x:c r="D2126" s="32" t="str">
        <x:v>Rufous-throated Solitaire</x:v>
      </x:c>
      <x:c r="E2126" s="32" t="str">
        <x:v>Myadestes genibarbis</x:v>
      </x:c>
      <x:c r="F2126" s="30" t="str">
        <x:v>rare</x:v>
      </x:c>
      <x:c r="G2126" s="30" t="str">
        <x:v>standard</x:v>
      </x:c>
      <x:c r="H2126" s="30" t="str">
        <x:v>year-round</x:v>
      </x:c>
      <x:c r="I21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7">
      <x:c r="A2127" s="36" t="str">
        <x:v>caribbean</x:v>
      </x:c>
      <x:c r="B2127" s="30" t="str">
        <x:v>caribbean-broad-draft-1</x:v>
      </x:c>
      <x:c r="C2127" s="30" t="n">
        <x:v>145350</x:v>
      </x:c>
      <x:c r="D2127" s="32" t="str">
        <x:v>Indian Silverbill</x:v>
      </x:c>
      <x:c r="E2127" s="32" t="str">
        <x:v>Euodice malabarica</x:v>
      </x:c>
      <x:c r="F2127" s="30" t="str">
        <x:v>rare</x:v>
      </x:c>
      <x:c r="G2127" s="30" t="str">
        <x:v>standard</x:v>
      </x:c>
      <x:c r="H2127" s="30" t="str">
        <x:v>year-round</x:v>
      </x:c>
      <x:c r="I21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8">
      <x:c r="A2128" s="36" t="str">
        <x:v>caribbean</x:v>
      </x:c>
      <x:c r="B2128" s="30" t="str">
        <x:v>caribbean-broad-draft-1</x:v>
      </x:c>
      <x:c r="C2128" s="30" t="n">
        <x:v>3750</x:v>
      </x:c>
      <x:c r="D2128" s="32" t="str">
        <x:v>Scarlet Ibis</x:v>
      </x:c>
      <x:c r="E2128" s="32" t="str">
        <x:v>Eudocimus ruber</x:v>
      </x:c>
      <x:c r="F2128" s="30" t="str">
        <x:v>rare</x:v>
      </x:c>
      <x:c r="G2128" s="30" t="str">
        <x:v>standard</x:v>
      </x:c>
      <x:c r="H2128" s="30" t="str">
        <x:v>year-round</x:v>
      </x:c>
      <x:c r="I21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29">
      <x:c r="A2129" s="36" t="str">
        <x:v>caribbean</x:v>
      </x:c>
      <x:c r="B2129" s="30" t="str">
        <x:v>caribbean-broad-draft-1</x:v>
      </x:c>
      <x:c r="C2129" s="30" t="n">
        <x:v>979790</x:v>
      </x:c>
      <x:c r="D2129" s="32" t="str">
        <x:v>Tricolored Munia</x:v>
      </x:c>
      <x:c r="E2129" s="32" t="str">
        <x:v>Lonchura malacca</x:v>
      </x:c>
      <x:c r="F2129" s="30" t="str">
        <x:v>rare</x:v>
      </x:c>
      <x:c r="G2129" s="30" t="str">
        <x:v>standard</x:v>
      </x:c>
      <x:c r="H2129" s="30" t="str">
        <x:v>year-round</x:v>
      </x:c>
      <x:c r="I21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0">
      <x:c r="A2130" s="36" t="str">
        <x:v>caribbean</x:v>
      </x:c>
      <x:c r="B2130" s="30" t="str">
        <x:v>caribbean-broad-draft-1</x:v>
      </x:c>
      <x:c r="C2130" s="30" t="n">
        <x:v>13974</x:v>
      </x:c>
      <x:c r="D2130" s="32" t="str">
        <x:v>Yellow-crowned Bishop</x:v>
      </x:c>
      <x:c r="E2130" s="32" t="str">
        <x:v>Euplectes afer</x:v>
      </x:c>
      <x:c r="F2130" s="30" t="str">
        <x:v>rare</x:v>
      </x:c>
      <x:c r="G2130" s="30" t="str">
        <x:v>standard</x:v>
      </x:c>
      <x:c r="H2130" s="30" t="str">
        <x:v>year-round</x:v>
      </x:c>
      <x:c r="I21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1">
      <x:c r="A2131" s="36" t="str">
        <x:v>caribbean</x:v>
      </x:c>
      <x:c r="B2131" s="30" t="str">
        <x:v>caribbean-broad-draft-1</x:v>
      </x:c>
      <x:c r="C2131" s="30" t="n">
        <x:v>16049</x:v>
      </x:c>
      <x:c r="D2131" s="32" t="str">
        <x:v>Lesser Antillean Flycatcher</x:v>
      </x:c>
      <x:c r="E2131" s="32" t="str">
        <x:v>Myiarchus oberi</x:v>
      </x:c>
      <x:c r="F2131" s="30" t="str">
        <x:v>rare</x:v>
      </x:c>
      <x:c r="G2131" s="30" t="str">
        <x:v>standard</x:v>
      </x:c>
      <x:c r="H2131" s="30" t="str">
        <x:v>year-round</x:v>
      </x:c>
      <x:c r="I21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2">
      <x:c r="A2132" s="36" t="str">
        <x:v>caribbean</x:v>
      </x:c>
      <x:c r="B2132" s="30" t="str">
        <x:v>caribbean-broad-draft-1</x:v>
      </x:c>
      <x:c r="C2132" s="30" t="n">
        <x:v>17361</x:v>
      </x:c>
      <x:c r="D2132" s="32" t="str">
        <x:v>Flat-billed Vireo</x:v>
      </x:c>
      <x:c r="E2132" s="32" t="str">
        <x:v>Vireo nanus</x:v>
      </x:c>
      <x:c r="F2132" s="30" t="str">
        <x:v>rare</x:v>
      </x:c>
      <x:c r="G2132" s="30" t="str">
        <x:v>standard</x:v>
      </x:c>
      <x:c r="H2132" s="30" t="str">
        <x:v>year-round</x:v>
      </x:c>
      <x:c r="I21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3">
      <x:c r="A2133" s="36" t="str">
        <x:v>caribbean</x:v>
      </x:c>
      <x:c r="B2133" s="30" t="str">
        <x:v>caribbean-broad-draft-1</x:v>
      </x:c>
      <x:c r="C2133" s="30" t="n">
        <x:v>3855</x:v>
      </x:c>
      <x:c r="D2133" s="32" t="str">
        <x:v>Western Sandpiper</x:v>
      </x:c>
      <x:c r="E2133" s="32" t="str">
        <x:v>Calidris mauri</x:v>
      </x:c>
      <x:c r="F2133" s="30" t="str">
        <x:v>rare</x:v>
      </x:c>
      <x:c r="G2133" s="30" t="str">
        <x:v>standard</x:v>
      </x:c>
      <x:c r="H2133" s="30" t="str">
        <x:v>year-round</x:v>
      </x:c>
      <x:c r="I21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4">
      <x:c r="A2134" s="36" t="str">
        <x:v>caribbean</x:v>
      </x:c>
      <x:c r="B2134" s="30" t="str">
        <x:v>caribbean-broad-draft-1</x:v>
      </x:c>
      <x:c r="C2134" s="30" t="n">
        <x:v>3865</x:v>
      </x:c>
      <x:c r="D2134" s="32" t="str">
        <x:v>Pectoral Sandpiper</x:v>
      </x:c>
      <x:c r="E2134" s="32" t="str">
        <x:v>Calidris melanotos</x:v>
      </x:c>
      <x:c r="F2134" s="30" t="str">
        <x:v>rare</x:v>
      </x:c>
      <x:c r="G2134" s="30" t="str">
        <x:v>standard</x:v>
      </x:c>
      <x:c r="H2134" s="30" t="str">
        <x:v>year-round</x:v>
      </x:c>
      <x:c r="I21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5">
      <x:c r="A2135" s="36" t="str">
        <x:v>caribbean</x:v>
      </x:c>
      <x:c r="B2135" s="30" t="str">
        <x:v>caribbean-broad-draft-1</x:v>
      </x:c>
      <x:c r="C2135" s="30" t="n">
        <x:v>9528</x:v>
      </x:c>
      <x:c r="D2135" s="32" t="str">
        <x:v>Eastern Meadowlark</x:v>
      </x:c>
      <x:c r="E2135" s="32" t="str">
        <x:v>Sturnella magna</x:v>
      </x:c>
      <x:c r="F2135" s="30" t="str">
        <x:v>rare</x:v>
      </x:c>
      <x:c r="G2135" s="30" t="str">
        <x:v>standard</x:v>
      </x:c>
      <x:c r="H2135" s="30" t="str">
        <x:v>year-round</x:v>
      </x:c>
      <x:c r="I21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6">
      <x:c r="A2136" s="36" t="str">
        <x:v>caribbean</x:v>
      </x:c>
      <x:c r="B2136" s="30" t="str">
        <x:v>caribbean-broad-draft-1</x:v>
      </x:c>
      <x:c r="C2136" s="30" t="n">
        <x:v>12778</x:v>
      </x:c>
      <x:c r="D2136" s="32" t="str">
        <x:v>White-eyed Thrush</x:v>
      </x:c>
      <x:c r="E2136" s="32" t="str">
        <x:v>Turdus jamaicensis</x:v>
      </x:c>
      <x:c r="F2136" s="30" t="str">
        <x:v>rare</x:v>
      </x:c>
      <x:c r="G2136" s="30" t="str">
        <x:v>standard</x:v>
      </x:c>
      <x:c r="H2136" s="30" t="str">
        <x:v>year-round</x:v>
      </x:c>
      <x:c r="I21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7">
      <x:c r="A2137" s="36" t="str">
        <x:v>caribbean</x:v>
      </x:c>
      <x:c r="B2137" s="30" t="str">
        <x:v>caribbean-broad-draft-1</x:v>
      </x:c>
      <x:c r="C2137" s="30" t="n">
        <x:v>145235</x:v>
      </x:c>
      <x:c r="D2137" s="32" t="str">
        <x:v>Magnolia Warbler</x:v>
      </x:c>
      <x:c r="E2137" s="32" t="str">
        <x:v>Setophaga magnolia</x:v>
      </x:c>
      <x:c r="F2137" s="30" t="str">
        <x:v>rare</x:v>
      </x:c>
      <x:c r="G2137" s="30" t="str">
        <x:v>standard</x:v>
      </x:c>
      <x:c r="H2137" s="30" t="str">
        <x:v>year-round</x:v>
      </x:c>
      <x:c r="I21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8">
      <x:c r="A2138" s="36" t="str">
        <x:v>caribbean</x:v>
      </x:c>
      <x:c r="B2138" s="30" t="str">
        <x:v>caribbean-broad-draft-1</x:v>
      </x:c>
      <x:c r="C2138" s="30" t="n">
        <x:v>3128</x:v>
      </x:c>
      <x:c r="D2138" s="32" t="str">
        <x:v>Plain Pigeon</x:v>
      </x:c>
      <x:c r="E2138" s="32" t="str">
        <x:v>Patagioenas inornata</x:v>
      </x:c>
      <x:c r="F2138" s="30" t="str">
        <x:v>rare</x:v>
      </x:c>
      <x:c r="G2138" s="30" t="str">
        <x:v>standard</x:v>
      </x:c>
      <x:c r="H2138" s="30" t="str">
        <x:v>year-round</x:v>
      </x:c>
      <x:c r="I21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39">
      <x:c r="A2139" s="36" t="str">
        <x:v>caribbean</x:v>
      </x:c>
      <x:c r="B2139" s="30" t="str">
        <x:v>caribbean-broad-draft-1</x:v>
      </x:c>
      <x:c r="C2139" s="30" t="n">
        <x:v>7120</x:v>
      </x:c>
      <x:c r="D2139" s="32" t="str">
        <x:v>Muscovy Duck</x:v>
      </x:c>
      <x:c r="E2139" s="32" t="str">
        <x:v>Cairina moschata</x:v>
      </x:c>
      <x:c r="F2139" s="30" t="str">
        <x:v>rare</x:v>
      </x:c>
      <x:c r="G2139" s="30" t="str">
        <x:v>standard</x:v>
      </x:c>
      <x:c r="H2139" s="30" t="str">
        <x:v>year-round</x:v>
      </x:c>
      <x:c r="I21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0">
      <x:c r="A2140" s="36" t="str">
        <x:v>caribbean</x:v>
      </x:c>
      <x:c r="B2140" s="30" t="str">
        <x:v>caribbean-broad-draft-1</x:v>
      </x:c>
      <x:c r="C2140" s="30" t="n">
        <x:v>17387</x:v>
      </x:c>
      <x:c r="D2140" s="32" t="str">
        <x:v>Blue Mountain Vireo</x:v>
      </x:c>
      <x:c r="E2140" s="32" t="str">
        <x:v>Vireo osburni</x:v>
      </x:c>
      <x:c r="F2140" s="30" t="str">
        <x:v>rare</x:v>
      </x:c>
      <x:c r="G2140" s="30" t="str">
        <x:v>standard</x:v>
      </x:c>
      <x:c r="H2140" s="30" t="str">
        <x:v>year-round</x:v>
      </x:c>
      <x:c r="I21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1">
      <x:c r="A2141" s="36" t="str">
        <x:v>caribbean</x:v>
      </x:c>
      <x:c r="B2141" s="30" t="str">
        <x:v>caribbean-broad-draft-1</x:v>
      </x:c>
      <x:c r="C2141" s="30" t="n">
        <x:v>18236</x:v>
      </x:c>
      <x:c r="D2141" s="32" t="str">
        <x:v>Northern Flicker</x:v>
      </x:c>
      <x:c r="E2141" s="32" t="str">
        <x:v>Colaptes auratus</x:v>
      </x:c>
      <x:c r="F2141" s="30" t="str">
        <x:v>rare</x:v>
      </x:c>
      <x:c r="G2141" s="30" t="str">
        <x:v>standard</x:v>
      </x:c>
      <x:c r="H2141" s="30" t="str">
        <x:v>year-round</x:v>
      </x:c>
      <x:c r="I21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2">
      <x:c r="A2142" s="36" t="str">
        <x:v>caribbean</x:v>
      </x:c>
      <x:c r="B2142" s="30" t="str">
        <x:v>caribbean-broad-draft-1</x:v>
      </x:c>
      <x:c r="C2142" s="30" t="n">
        <x:v>19065</x:v>
      </x:c>
      <x:c r="D2142" s="32" t="str">
        <x:v>Green-rumped Parrotlet</x:v>
      </x:c>
      <x:c r="E2142" s="32" t="str">
        <x:v>Forpus passerinus</x:v>
      </x:c>
      <x:c r="F2142" s="30" t="str">
        <x:v>rare</x:v>
      </x:c>
      <x:c r="G2142" s="30" t="str">
        <x:v>standard</x:v>
      </x:c>
      <x:c r="H2142" s="30" t="str">
        <x:v>year-round</x:v>
      </x:c>
      <x:c r="I21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3">
      <x:c r="A2143" s="36" t="str">
        <x:v>caribbean</x:v>
      </x:c>
      <x:c r="B2143" s="30" t="str">
        <x:v>caribbean-broad-draft-1</x:v>
      </x:c>
      <x:c r="C2143" s="30" t="n">
        <x:v>17408</x:v>
      </x:c>
      <x:c r="D2143" s="32" t="str">
        <x:v>White-eyed Vireo</x:v>
      </x:c>
      <x:c r="E2143" s="32" t="str">
        <x:v>Vireo griseus</x:v>
      </x:c>
      <x:c r="F2143" s="30" t="str">
        <x:v>rare</x:v>
      </x:c>
      <x:c r="G2143" s="30" t="str">
        <x:v>standard</x:v>
      </x:c>
      <x:c r="H2143" s="30" t="str">
        <x:v>year-round</x:v>
      </x:c>
      <x:c r="I21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4">
      <x:c r="A2144" s="36" t="str">
        <x:v>caribbean</x:v>
      </x:c>
      <x:c r="B2144" s="30" t="str">
        <x:v>caribbean-broad-draft-1</x:v>
      </x:c>
      <x:c r="C2144" s="30" t="n">
        <x:v>485176</x:v>
      </x:c>
      <x:c r="D2144" s="32" t="str">
        <x:v>American Wigeon</x:v>
      </x:c>
      <x:c r="E2144" s="32" t="str">
        <x:v>Mareca americana</x:v>
      </x:c>
      <x:c r="F2144" s="30" t="str">
        <x:v>rare</x:v>
      </x:c>
      <x:c r="G2144" s="30" t="str">
        <x:v>standard</x:v>
      </x:c>
      <x:c r="H2144" s="30" t="str">
        <x:v>year-round</x:v>
      </x:c>
      <x:c r="I21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5">
      <x:c r="A2145" s="36" t="str">
        <x:v>caribbean</x:v>
      </x:c>
      <x:c r="B2145" s="30" t="str">
        <x:v>caribbean-broad-draft-1</x:v>
      </x:c>
      <x:c r="C2145" s="30" t="n">
        <x:v>144554</x:v>
      </x:c>
      <x:c r="D2145" s="32" t="str">
        <x:v>White-fronted Quail-Dove</x:v>
      </x:c>
      <x:c r="E2145" s="32" t="str">
        <x:v>Geotrygon leucometopia</x:v>
      </x:c>
      <x:c r="F2145" s="30" t="str">
        <x:v>rare</x:v>
      </x:c>
      <x:c r="G2145" s="30" t="str">
        <x:v>standard</x:v>
      </x:c>
      <x:c r="H2145" s="30" t="str">
        <x:v>year-round</x:v>
      </x:c>
      <x:c r="I21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6">
      <x:c r="A2146" s="36" t="str">
        <x:v>caribbean</x:v>
      </x:c>
      <x:c r="B2146" s="30" t="str">
        <x:v>caribbean-broad-draft-1</x:v>
      </x:c>
      <x:c r="C2146" s="30" t="n">
        <x:v>145244</x:v>
      </x:c>
      <x:c r="D2146" s="32" t="str">
        <x:v>Pine Warbler</x:v>
      </x:c>
      <x:c r="E2146" s="32" t="str">
        <x:v>Setophaga pinus</x:v>
      </x:c>
      <x:c r="F2146" s="30" t="str">
        <x:v>rare</x:v>
      </x:c>
      <x:c r="G2146" s="30" t="str">
        <x:v>standard</x:v>
      </x:c>
      <x:c r="H2146" s="30" t="str">
        <x:v>year-round</x:v>
      </x:c>
      <x:c r="I21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7">
      <x:c r="A2147" s="36" t="str">
        <x:v>caribbean</x:v>
      </x:c>
      <x:c r="B2147" s="30" t="str">
        <x:v>caribbean-broad-draft-1</x:v>
      </x:c>
      <x:c r="C2147" s="30" t="n">
        <x:v>72951</x:v>
      </x:c>
      <x:c r="D2147" s="32" t="str">
        <x:v>Bahama Oriole</x:v>
      </x:c>
      <x:c r="E2147" s="32" t="str">
        <x:v>Icterus northropi</x:v>
      </x:c>
      <x:c r="F2147" s="30" t="str">
        <x:v>rare</x:v>
      </x:c>
      <x:c r="G2147" s="30" t="str">
        <x:v>standard</x:v>
      </x:c>
      <x:c r="H2147" s="30" t="str">
        <x:v>year-round</x:v>
      </x:c>
      <x:c r="I21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8">
      <x:c r="A2148" s="36" t="str">
        <x:v>caribbean</x:v>
      </x:c>
      <x:c r="B2148" s="30" t="str">
        <x:v>caribbean-broad-draft-1</x:v>
      </x:c>
      <x:c r="C2148" s="30" t="n">
        <x:v>1289678</x:v>
      </x:c>
      <x:c r="D2148" s="32" t="str">
        <x:v>Blue-headed Hummingbird</x:v>
      </x:c>
      <x:c r="E2148" s="32" t="str">
        <x:v>Riccordia bicolor</x:v>
      </x:c>
      <x:c r="F2148" s="30" t="str">
        <x:v>rare</x:v>
      </x:c>
      <x:c r="G2148" s="30" t="str">
        <x:v>standard</x:v>
      </x:c>
      <x:c r="H2148" s="30" t="str">
        <x:v>year-round</x:v>
      </x:c>
      <x:c r="I21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49">
      <x:c r="A2149" s="36" t="str">
        <x:v>caribbean</x:v>
      </x:c>
      <x:c r="B2149" s="30" t="str">
        <x:v>caribbean-broad-draft-1</x:v>
      </x:c>
      <x:c r="C2149" s="30" t="n">
        <x:v>4496</x:v>
      </x:c>
      <x:c r="D2149" s="32" t="str">
        <x:v>Black Skimmer</x:v>
      </x:c>
      <x:c r="E2149" s="32" t="str">
        <x:v>Rynchops niger</x:v>
      </x:c>
      <x:c r="F2149" s="30" t="str">
        <x:v>rare</x:v>
      </x:c>
      <x:c r="G2149" s="30" t="str">
        <x:v>standard</x:v>
      </x:c>
      <x:c r="H2149" s="30" t="str">
        <x:v>year-round</x:v>
      </x:c>
      <x:c r="I21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0">
      <x:c r="A2150" s="36" t="str">
        <x:v>caribbean</x:v>
      </x:c>
      <x:c r="B2150" s="30" t="str">
        <x:v>caribbean-broad-draft-1</x:v>
      </x:c>
      <x:c r="C2150" s="30" t="n">
        <x:v>9327</x:v>
      </x:c>
      <x:c r="D2150" s="32" t="str">
        <x:v>Martinique Oriole</x:v>
      </x:c>
      <x:c r="E2150" s="32" t="str">
        <x:v>Icterus bonana</x:v>
      </x:c>
      <x:c r="F2150" s="30" t="str">
        <x:v>rare</x:v>
      </x:c>
      <x:c r="G2150" s="30" t="str">
        <x:v>standard</x:v>
      </x:c>
      <x:c r="H2150" s="30" t="str">
        <x:v>year-round</x:v>
      </x:c>
      <x:c r="I21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1">
      <x:c r="A2151" s="36" t="str">
        <x:v>caribbean</x:v>
      </x:c>
      <x:c r="B2151" s="30" t="str">
        <x:v>caribbean-broad-draft-1</x:v>
      </x:c>
      <x:c r="C2151" s="30" t="n">
        <x:v>4742</x:v>
      </x:c>
      <x:c r="D2151" s="32" t="str">
        <x:v>Wood Stork</x:v>
      </x:c>
      <x:c r="E2151" s="32" t="str">
        <x:v>Mycteria americana</x:v>
      </x:c>
      <x:c r="F2151" s="30" t="str">
        <x:v>rare</x:v>
      </x:c>
      <x:c r="G2151" s="30" t="str">
        <x:v>standard</x:v>
      </x:c>
      <x:c r="H2151" s="30" t="str">
        <x:v>year-round</x:v>
      </x:c>
      <x:c r="I21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2">
      <x:c r="A2152" s="36" t="str">
        <x:v>caribbean</x:v>
      </x:c>
      <x:c r="B2152" s="30" t="str">
        <x:v>caribbean-broad-draft-1</x:v>
      </x:c>
      <x:c r="C2152" s="30" t="n">
        <x:v>10224</x:v>
      </x:c>
      <x:c r="D2152" s="32" t="str">
        <x:v>Painted Bunting</x:v>
      </x:c>
      <x:c r="E2152" s="32" t="str">
        <x:v>Passerina ciris</x:v>
      </x:c>
      <x:c r="F2152" s="30" t="str">
        <x:v>rare</x:v>
      </x:c>
      <x:c r="G2152" s="30" t="str">
        <x:v>standard</x:v>
      </x:c>
      <x:c r="H2152" s="30" t="str">
        <x:v>year-round</x:v>
      </x:c>
      <x:c r="I21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3">
      <x:c r="A2153" s="36" t="str">
        <x:v>caribbean</x:v>
      </x:c>
      <x:c r="B2153" s="30" t="str">
        <x:v>caribbean-broad-draft-1</x:v>
      </x:c>
      <x:c r="C2153" s="30" t="n">
        <x:v>9915</x:v>
      </x:c>
      <x:c r="D2153" s="32" t="str">
        <x:v>Summer Tanager</x:v>
      </x:c>
      <x:c r="E2153" s="32" t="str">
        <x:v>Piranga rubra</x:v>
      </x:c>
      <x:c r="F2153" s="30" t="str">
        <x:v>rare</x:v>
      </x:c>
      <x:c r="G2153" s="30" t="str">
        <x:v>standard</x:v>
      </x:c>
      <x:c r="H2153" s="30" t="str">
        <x:v>year-round</x:v>
      </x:c>
      <x:c r="I21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4">
      <x:c r="A2154" s="36" t="str">
        <x:v>caribbean</x:v>
      </x:c>
      <x:c r="B2154" s="30" t="str">
        <x:v>caribbean-broad-draft-1</x:v>
      </x:c>
      <x:c r="C2154" s="30" t="n">
        <x:v>10576</x:v>
      </x:c>
      <x:c r="D2154" s="32" t="str">
        <x:v>White-winged Warbler</x:v>
      </x:c>
      <x:c r="E2154" s="32" t="str">
        <x:v>Xenoligea montana</x:v>
      </x:c>
      <x:c r="F2154" s="30" t="str">
        <x:v>very_rare</x:v>
      </x:c>
      <x:c r="G2154" s="30" t="str">
        <x:v>standard</x:v>
      </x:c>
      <x:c r="H2154" s="30" t="str">
        <x:v>year-round</x:v>
      </x:c>
      <x:c r="I21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5">
      <x:c r="A2155" s="36" t="str">
        <x:v>caribbean</x:v>
      </x:c>
      <x:c r="B2155" s="30" t="str">
        <x:v>caribbean-broad-draft-1</x:v>
      </x:c>
      <x:c r="C2155" s="30" t="n">
        <x:v>1506094</x:v>
      </x:c>
      <x:c r="D2155" s="32" t="str">
        <x:v>Cuban Palm-Crow</x:v>
      </x:c>
      <x:c r="E2155" s="32" t="str">
        <x:v>Corvus minutus</x:v>
      </x:c>
      <x:c r="F2155" s="30" t="str">
        <x:v>very_rare</x:v>
      </x:c>
      <x:c r="G2155" s="30" t="str">
        <x:v>standard</x:v>
      </x:c>
      <x:c r="H2155" s="30" t="str">
        <x:v>year-round</x:v>
      </x:c>
      <x:c r="I21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6">
      <x:c r="A2156" s="36" t="str">
        <x:v>caribbean</x:v>
      </x:c>
      <x:c r="B2156" s="30" t="str">
        <x:v>caribbean-broad-draft-1</x:v>
      </x:c>
      <x:c r="C2156" s="30" t="n">
        <x:v>367560</x:v>
      </x:c>
      <x:c r="D2156" s="32" t="str">
        <x:v>Brown-throated Parakeet</x:v>
      </x:c>
      <x:c r="E2156" s="32" t="str">
        <x:v>Eupsittula pertinax</x:v>
      </x:c>
      <x:c r="F2156" s="30" t="str">
        <x:v>very_rare</x:v>
      </x:c>
      <x:c r="G2156" s="30" t="str">
        <x:v>standard</x:v>
      </x:c>
      <x:c r="H2156" s="30" t="str">
        <x:v>year-round</x:v>
      </x:c>
      <x:c r="I21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7">
      <x:c r="A2157" s="36" t="str">
        <x:v>caribbean</x:v>
      </x:c>
      <x:c r="B2157" s="30" t="str">
        <x:v>caribbean-broad-draft-1</x:v>
      </x:c>
      <x:c r="C2157" s="30" t="n">
        <x:v>16891</x:v>
      </x:c>
      <x:c r="D2157" s="32" t="str">
        <x:v>Jamaican Elaenia</x:v>
      </x:c>
      <x:c r="E2157" s="32" t="str">
        <x:v>Myiopagis cotta</x:v>
      </x:c>
      <x:c r="F2157" s="30" t="str">
        <x:v>very_rare</x:v>
      </x:c>
      <x:c r="G2157" s="30" t="str">
        <x:v>standard</x:v>
      </x:c>
      <x:c r="H2157" s="30" t="str">
        <x:v>year-round</x:v>
      </x:c>
      <x:c r="I21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8">
      <x:c r="A2158" s="36" t="str">
        <x:v>caribbean</x:v>
      </x:c>
      <x:c r="B2158" s="30" t="str">
        <x:v>caribbean-broad-draft-1</x:v>
      </x:c>
      <x:c r="C2158" s="30" t="n">
        <x:v>6597</x:v>
      </x:c>
      <x:c r="D2158" s="32" t="str">
        <x:v>White-collared Swift</x:v>
      </x:c>
      <x:c r="E2158" s="32" t="str">
        <x:v>Streptoprocne zonaris</x:v>
      </x:c>
      <x:c r="F2158" s="30" t="str">
        <x:v>very_rare</x:v>
      </x:c>
      <x:c r="G2158" s="30" t="str">
        <x:v>standard</x:v>
      </x:c>
      <x:c r="H2158" s="30" t="str">
        <x:v>year-round</x:v>
      </x:c>
      <x:c r="I21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59">
      <x:c r="A2159" s="36" t="str">
        <x:v>caribbean</x:v>
      </x:c>
      <x:c r="B2159" s="30" t="str">
        <x:v>caribbean-broad-draft-1</x:v>
      </x:c>
      <x:c r="C2159" s="30" t="n">
        <x:v>19975</x:v>
      </x:c>
      <x:c r="D2159" s="32" t="str">
        <x:v>Burrowing Owl</x:v>
      </x:c>
      <x:c r="E2159" s="32" t="str">
        <x:v>Athene cunicularia</x:v>
      </x:c>
      <x:c r="F2159" s="30" t="str">
        <x:v>very_rare</x:v>
      </x:c>
      <x:c r="G2159" s="30" t="str">
        <x:v>standard</x:v>
      </x:c>
      <x:c r="H2159" s="30" t="str">
        <x:v>year-round</x:v>
      </x:c>
      <x:c r="I21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0">
      <x:c r="A2160" s="36" t="str">
        <x:v>caribbean</x:v>
      </x:c>
      <x:c r="B2160" s="30" t="str">
        <x:v>caribbean-broad-draft-1</x:v>
      </x:c>
      <x:c r="C2160" s="30" t="n">
        <x:v>145279</x:v>
      </x:c>
      <x:c r="D2160" s="32" t="str">
        <x:v>Western Chat-Tanager</x:v>
      </x:c>
      <x:c r="E2160" s="32" t="str">
        <x:v>Calyptophilus tertius</x:v>
      </x:c>
      <x:c r="F2160" s="30" t="str">
        <x:v>very_rare</x:v>
      </x:c>
      <x:c r="G2160" s="30" t="str">
        <x:v>standard</x:v>
      </x:c>
      <x:c r="H2160" s="30" t="str">
        <x:v>year-round</x:v>
      </x:c>
      <x:c r="I21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1">
      <x:c r="A2161" s="36" t="str">
        <x:v>caribbean</x:v>
      </x:c>
      <x:c r="B2161" s="30" t="str">
        <x:v>caribbean-broad-draft-1</x:v>
      </x:c>
      <x:c r="C2161" s="30" t="n">
        <x:v>144496</x:v>
      </x:c>
      <x:c r="D2161" s="32" t="str">
        <x:v>Wilson's Snipe</x:v>
      </x:c>
      <x:c r="E2161" s="32" t="str">
        <x:v>Gallinago delicata</x:v>
      </x:c>
      <x:c r="F2161" s="30" t="str">
        <x:v>very_rare</x:v>
      </x:c>
      <x:c r="G2161" s="30" t="str">
        <x:v>standard</x:v>
      </x:c>
      <x:c r="H2161" s="30" t="str">
        <x:v>year-round</x:v>
      </x:c>
      <x:c r="I21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2">
      <x:c r="A2162" s="36" t="str">
        <x:v>caribbean</x:v>
      </x:c>
      <x:c r="B2162" s="30" t="str">
        <x:v>caribbean-broad-draft-1</x:v>
      </x:c>
      <x:c r="C2162" s="30" t="n">
        <x:v>3255</x:v>
      </x:c>
      <x:c r="D2162" s="32" t="str">
        <x:v>Pied Imperial Pigeon</x:v>
      </x:c>
      <x:c r="E2162" s="32" t="str">
        <x:v>Ducula bicolor</x:v>
      </x:c>
      <x:c r="F2162" s="30" t="str">
        <x:v>very_rare</x:v>
      </x:c>
      <x:c r="G2162" s="30" t="str">
        <x:v>standard</x:v>
      </x:c>
      <x:c r="H2162" s="30" t="str">
        <x:v>year-round</x:v>
      </x:c>
      <x:c r="I21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3">
      <x:c r="A2163" s="36" t="str">
        <x:v>caribbean</x:v>
      </x:c>
      <x:c r="B2163" s="30" t="str">
        <x:v>caribbean-broad-draft-1</x:v>
      </x:c>
      <x:c r="C2163" s="30" t="n">
        <x:v>36488</x:v>
      </x:c>
      <x:c r="D2163" s="32" t="str">
        <x:v>Crested Anole</x:v>
      </x:c>
      <x:c r="E2163" s="32" t="str">
        <x:v>Anolis cristatellus</x:v>
      </x:c>
      <x:c r="F2163" s="30" t="str">
        <x:v>common</x:v>
      </x:c>
      <x:c r="G2163" s="30" t="str">
        <x:v>standard</x:v>
      </x:c>
      <x:c r="H2163" s="30" t="str">
        <x:v>year-round</x:v>
      </x:c>
      <x:c r="I21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4">
      <x:c r="A2164" s="36" t="str">
        <x:v>caribbean</x:v>
      </x:c>
      <x:c r="B2164" s="30" t="str">
        <x:v>caribbean-broad-draft-1</x:v>
      </x:c>
      <x:c r="C2164" s="30" t="n">
        <x:v>35342</x:v>
      </x:c>
      <x:c r="D2164" s="32" t="str">
        <x:v>Green Iguana</x:v>
      </x:c>
      <x:c r="E2164" s="32" t="str">
        <x:v>Iguana iguana</x:v>
      </x:c>
      <x:c r="F2164" s="30" t="str">
        <x:v>common</x:v>
      </x:c>
      <x:c r="G2164" s="30" t="str">
        <x:v>standard</x:v>
      </x:c>
      <x:c r="H2164" s="30" t="str">
        <x:v>year-round</x:v>
      </x:c>
      <x:c r="I2164" s="37" t="str">
        <x:v>Owner-managed caribbean essential checklist; imported from caribbean_checklists.csv. Encounter rarity and prestige are curated game metadata. Automated rarity: inaturalist-regional-frequency-v1.</x:v>
      </x:c>
    </x:row>
    <x:row r="2165">
      <x:c r="A2165" s="36" t="str">
        <x:v>caribbean</x:v>
      </x:c>
      <x:c r="B2165" s="30" t="str">
        <x:v>caribbean-broad-draft-1</x:v>
      </x:c>
      <x:c r="C2165" s="30" t="n">
        <x:v>540071</x:v>
      </x:c>
      <x:c r="D2165" s="32" t="str">
        <x:v>Common Puerto Rican Ameiva</x:v>
      </x:c>
      <x:c r="E2165" s="32" t="str">
        <x:v>Pholidoscelis exsul</x:v>
      </x:c>
      <x:c r="F2165" s="30" t="str">
        <x:v>common</x:v>
      </x:c>
      <x:c r="G2165" s="30" t="str">
        <x:v>standard</x:v>
      </x:c>
      <x:c r="H2165" s="30" t="str">
        <x:v>year-round</x:v>
      </x:c>
      <x:c r="I21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6">
      <x:c r="A2166" s="36" t="str">
        <x:v>caribbean</x:v>
      </x:c>
      <x:c r="B2166" s="30" t="str">
        <x:v>caribbean-broad-draft-1</x:v>
      </x:c>
      <x:c r="C2166" s="30" t="n">
        <x:v>36455</x:v>
      </x:c>
      <x:c r="D2166" s="32" t="str">
        <x:v>Bark Anole</x:v>
      </x:c>
      <x:c r="E2166" s="32" t="str">
        <x:v>Anolis distichus</x:v>
      </x:c>
      <x:c r="F2166" s="30" t="str">
        <x:v>common</x:v>
      </x:c>
      <x:c r="G2166" s="30" t="str">
        <x:v>standard</x:v>
      </x:c>
      <x:c r="H2166" s="30" t="str">
        <x:v>year-round</x:v>
      </x:c>
      <x:c r="I21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7">
      <x:c r="A2167" s="36" t="str">
        <x:v>caribbean</x:v>
      </x:c>
      <x:c r="B2167" s="30" t="str">
        <x:v>caribbean-broad-draft-1</x:v>
      </x:c>
      <x:c r="C2167" s="30" t="n">
        <x:v>116461</x:v>
      </x:c>
      <x:c r="D2167" s="32" t="str">
        <x:v>Brown Anole</x:v>
      </x:c>
      <x:c r="E2167" s="32" t="str">
        <x:v>Anolis sagrei</x:v>
      </x:c>
      <x:c r="F2167" s="30" t="str">
        <x:v>common</x:v>
      </x:c>
      <x:c r="G2167" s="30" t="str">
        <x:v>standard</x:v>
      </x:c>
      <x:c r="H2167" s="30" t="str">
        <x:v>year-round</x:v>
      </x:c>
      <x:c r="I21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8">
      <x:c r="A2168" s="36" t="str">
        <x:v>caribbean</x:v>
      </x:c>
      <x:c r="B2168" s="30" t="str">
        <x:v>caribbean-broad-draft-1</x:v>
      </x:c>
      <x:c r="C2168" s="30" t="n">
        <x:v>68492</x:v>
      </x:c>
      <x:c r="D2168" s="32" t="str">
        <x:v>Tropical House Gecko</x:v>
      </x:c>
      <x:c r="E2168" s="32" t="str">
        <x:v>Hemidactylus mabouia</x:v>
      </x:c>
      <x:c r="F2168" s="30" t="str">
        <x:v>common</x:v>
      </x:c>
      <x:c r="G2168" s="30" t="str">
        <x:v>standard</x:v>
      </x:c>
      <x:c r="H2168" s="30" t="str">
        <x:v>year-round</x:v>
      </x:c>
      <x:c r="I21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69">
      <x:c r="A2169" s="36" t="str">
        <x:v>caribbean</x:v>
      </x:c>
      <x:c r="B2169" s="30" t="str">
        <x:v>caribbean-broad-draft-1</x:v>
      </x:c>
      <x:c r="C2169" s="30" t="n">
        <x:v>39280</x:v>
      </x:c>
      <x:c r="D2169" s="32" t="str">
        <x:v>Northern Curly-tailed Lizard</x:v>
      </x:c>
      <x:c r="E2169" s="32" t="str">
        <x:v>Leiocephalus carinatus</x:v>
      </x:c>
      <x:c r="F2169" s="30" t="str">
        <x:v>common</x:v>
      </x:c>
      <x:c r="G2169" s="30" t="str">
        <x:v>standard</x:v>
      </x:c>
      <x:c r="H2169" s="30" t="str">
        <x:v>year-round</x:v>
      </x:c>
      <x:c r="I21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0">
      <x:c r="A2170" s="36" t="str">
        <x:v>caribbean</x:v>
      </x:c>
      <x:c r="B2170" s="30" t="str">
        <x:v>caribbean-broad-draft-1</x:v>
      </x:c>
      <x:c r="C2170" s="30" t="n">
        <x:v>39659</x:v>
      </x:c>
      <x:c r="D2170" s="32" t="str">
        <x:v>Green Sea Turtle</x:v>
      </x:c>
      <x:c r="E2170" s="32" t="str">
        <x:v>Chelonia mydas</x:v>
      </x:c>
      <x:c r="F2170" s="30" t="str">
        <x:v>common</x:v>
      </x:c>
      <x:c r="G2170" s="30" t="str">
        <x:v>standard</x:v>
      </x:c>
      <x:c r="H2170" s="30" t="str">
        <x:v>year-round</x:v>
      </x:c>
      <x:c r="I21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1">
      <x:c r="A2171" s="36" t="str">
        <x:v>caribbean</x:v>
      </x:c>
      <x:c r="B2171" s="30" t="str">
        <x:v>caribbean-broad-draft-1</x:v>
      </x:c>
      <x:c r="C2171" s="30" t="n">
        <x:v>36445</x:v>
      </x:c>
      <x:c r="D2171" s="32" t="str">
        <x:v>Emerald anole</x:v>
      </x:c>
      <x:c r="E2171" s="32" t="str">
        <x:v>Anolis evermanni</x:v>
      </x:c>
      <x:c r="F2171" s="30" t="str">
        <x:v>common</x:v>
      </x:c>
      <x:c r="G2171" s="30" t="str">
        <x:v>standard</x:v>
      </x:c>
      <x:c r="H2171" s="30" t="str">
        <x:v>year-round</x:v>
      </x:c>
      <x:c r="I21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2">
      <x:c r="A2172" s="36" t="str">
        <x:v>caribbean</x:v>
      </x:c>
      <x:c r="B2172" s="30" t="str">
        <x:v>caribbean-broad-draft-1</x:v>
      </x:c>
      <x:c r="C2172" s="30" t="n">
        <x:v>36732</x:v>
      </x:c>
      <x:c r="D2172" s="32" t="str">
        <x:v>Krug's Anole</x:v>
      </x:c>
      <x:c r="E2172" s="32" t="str">
        <x:v>Anolis krugi</x:v>
      </x:c>
      <x:c r="F2172" s="30" t="str">
        <x:v>common</x:v>
      </x:c>
      <x:c r="G2172" s="30" t="str">
        <x:v>standard</x:v>
      </x:c>
      <x:c r="H2172" s="30" t="str">
        <x:v>year-round</x:v>
      </x:c>
      <x:c r="I21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3">
      <x:c r="A2173" s="36" t="str">
        <x:v>caribbean</x:v>
      </x:c>
      <x:c r="B2173" s="30" t="str">
        <x:v>caribbean-broad-draft-1</x:v>
      </x:c>
      <x:c r="C2173" s="30" t="n">
        <x:v>36606</x:v>
      </x:c>
      <x:c r="D2173" s="32" t="str">
        <x:v>Banded Anole</x:v>
      </x:c>
      <x:c r="E2173" s="32" t="str">
        <x:v>Anolis stratulus</x:v>
      </x:c>
      <x:c r="F2173" s="30" t="str">
        <x:v>common</x:v>
      </x:c>
      <x:c r="G2173" s="30" t="str">
        <x:v>standard</x:v>
      </x:c>
      <x:c r="H2173" s="30" t="str">
        <x:v>year-round</x:v>
      </x:c>
      <x:c r="I21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4">
      <x:c r="A2174" s="36" t="str">
        <x:v>caribbean</x:v>
      </x:c>
      <x:c r="B2174" s="30" t="str">
        <x:v>caribbean-broad-draft-1</x:v>
      </x:c>
      <x:c r="C2174" s="30" t="n">
        <x:v>36363</x:v>
      </x:c>
      <x:c r="D2174" s="32" t="str">
        <x:v>Martinique's anole</x:v>
      </x:c>
      <x:c r="E2174" s="32" t="str">
        <x:v>Anolis roquet</x:v>
      </x:c>
      <x:c r="F2174" s="30" t="str">
        <x:v>common</x:v>
      </x:c>
      <x:c r="G2174" s="30" t="str">
        <x:v>standard</x:v>
      </x:c>
      <x:c r="H2174" s="30" t="str">
        <x:v>year-round</x:v>
      </x:c>
      <x:c r="I21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5">
      <x:c r="A2175" s="36" t="str">
        <x:v>caribbean</x:v>
      </x:c>
      <x:c r="B2175" s="30" t="str">
        <x:v>caribbean-broad-draft-1</x:v>
      </x:c>
      <x:c r="C2175" s="30" t="n">
        <x:v>36380</x:v>
      </x:c>
      <x:c r="D2175" s="32" t="str">
        <x:v>Graham's Anole</x:v>
      </x:c>
      <x:c r="E2175" s="32" t="str">
        <x:v>Anolis grahami</x:v>
      </x:c>
      <x:c r="F2175" s="30" t="str">
        <x:v>common</x:v>
      </x:c>
      <x:c r="G2175" s="30" t="str">
        <x:v>standard</x:v>
      </x:c>
      <x:c r="H2175" s="30" t="str">
        <x:v>year-round</x:v>
      </x:c>
      <x:c r="I21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6">
      <x:c r="A2176" s="36" t="str">
        <x:v>caribbean</x:v>
      </x:c>
      <x:c r="B2176" s="30" t="str">
        <x:v>caribbean-broad-draft-1</x:v>
      </x:c>
      <x:c r="C2176" s="30" t="n">
        <x:v>1148911</x:v>
      </x:c>
      <x:c r="D2176" s="32" t="str">
        <x:v>Common Stout Anole</x:v>
      </x:c>
      <x:c r="E2176" s="32" t="str">
        <x:v>Anolis hispaniolae</x:v>
      </x:c>
      <x:c r="F2176" s="30" t="str">
        <x:v>common</x:v>
      </x:c>
      <x:c r="G2176" s="30" t="str">
        <x:v>standard</x:v>
      </x:c>
      <x:c r="H2176" s="30" t="str">
        <x:v>year-round</x:v>
      </x:c>
      <x:c r="I21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7">
      <x:c r="A2177" s="36" t="str">
        <x:v>caribbean</x:v>
      </x:c>
      <x:c r="B2177" s="30" t="str">
        <x:v>caribbean-broad-draft-1</x:v>
      </x:c>
      <x:c r="C2177" s="30" t="n">
        <x:v>36375</x:v>
      </x:c>
      <x:c r="D2177" s="32" t="str">
        <x:v>Stripefoot Anole</x:v>
      </x:c>
      <x:c r="E2177" s="32" t="str">
        <x:v>Anolis lineatopus</x:v>
      </x:c>
      <x:c r="F2177" s="30" t="str">
        <x:v>common</x:v>
      </x:c>
      <x:c r="G2177" s="30" t="str">
        <x:v>standard</x:v>
      </x:c>
      <x:c r="H2177" s="30" t="str">
        <x:v>year-round</x:v>
      </x:c>
      <x:c r="I21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8">
      <x:c r="A2178" s="36" t="str">
        <x:v>caribbean</x:v>
      </x:c>
      <x:c r="B2178" s="30" t="str">
        <x:v>caribbean-broad-draft-1</x:v>
      </x:c>
      <x:c r="C2178" s="30" t="n">
        <x:v>30121</x:v>
      </x:c>
      <x:c r="D2178" s="32" t="str">
        <x:v>Puerto Rican Racer</x:v>
      </x:c>
      <x:c r="E2178" s="32" t="str">
        <x:v>Borikenophis portoricensis</x:v>
      </x:c>
      <x:c r="F2178" s="30" t="str">
        <x:v>common</x:v>
      </x:c>
      <x:c r="G2178" s="30" t="str">
        <x:v>standard</x:v>
      </x:c>
      <x:c r="H2178" s="30" t="str">
        <x:v>year-round</x:v>
      </x:c>
      <x:c r="I21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79">
      <x:c r="A2179" s="36" t="str">
        <x:v>caribbean</x:v>
      </x:c>
      <x:c r="B2179" s="30" t="str">
        <x:v>caribbean-broad-draft-1</x:v>
      </x:c>
      <x:c r="C2179" s="30" t="n">
        <x:v>36695</x:v>
      </x:c>
      <x:c r="D2179" s="32" t="str">
        <x:v>Guadeloupean anole</x:v>
      </x:c>
      <x:c r="E2179" s="32" t="str">
        <x:v>Anolis marmoratus</x:v>
      </x:c>
      <x:c r="F2179" s="30" t="str">
        <x:v>common</x:v>
      </x:c>
      <x:c r="G2179" s="30" t="str">
        <x:v>standard</x:v>
      </x:c>
      <x:c r="H2179" s="30" t="str">
        <x:v>year-round</x:v>
      </x:c>
      <x:c r="I21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0">
      <x:c r="A2180" s="36" t="str">
        <x:v>caribbean</x:v>
      </x:c>
      <x:c r="B2180" s="30" t="str">
        <x:v>caribbean-broad-draft-1</x:v>
      </x:c>
      <x:c r="C2180" s="30" t="n">
        <x:v>36651</x:v>
      </x:c>
      <x:c r="D2180" s="32" t="str">
        <x:v>Cuban Green Anole</x:v>
      </x:c>
      <x:c r="E2180" s="32" t="str">
        <x:v>Anolis porcatus</x:v>
      </x:c>
      <x:c r="F2180" s="30" t="str">
        <x:v>common</x:v>
      </x:c>
      <x:c r="G2180" s="30" t="str">
        <x:v>standard</x:v>
      </x:c>
      <x:c r="H2180" s="30" t="str">
        <x:v>year-round</x:v>
      </x:c>
      <x:c r="I21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1">
      <x:c r="A2181" s="36" t="str">
        <x:v>caribbean</x:v>
      </x:c>
      <x:c r="B2181" s="30" t="str">
        <x:v>caribbean-broad-draft-1</x:v>
      </x:c>
      <x:c r="C2181" s="30" t="n">
        <x:v>36645</x:v>
      </x:c>
      <x:c r="D2181" s="32" t="str">
        <x:v>Puerto Rican Bush Anole</x:v>
      </x:c>
      <x:c r="E2181" s="32" t="str">
        <x:v>Anolis pulchellus</x:v>
      </x:c>
      <x:c r="F2181" s="30" t="str">
        <x:v>common</x:v>
      </x:c>
      <x:c r="G2181" s="30" t="str">
        <x:v>standard</x:v>
      </x:c>
      <x:c r="H2181" s="30" t="str">
        <x:v>year-round</x:v>
      </x:c>
      <x:c r="I21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2">
      <x:c r="A2182" s="36" t="str">
        <x:v>caribbean</x:v>
      </x:c>
      <x:c r="B2182" s="30" t="str">
        <x:v>caribbean-broad-draft-1</x:v>
      </x:c>
      <x:c r="C2182" s="30" t="n">
        <x:v>36427</x:v>
      </x:c>
      <x:c r="D2182" s="32" t="str">
        <x:v>Gundlach’s Anole</x:v>
      </x:c>
      <x:c r="E2182" s="32" t="str">
        <x:v>Anolis gundlachi</x:v>
      </x:c>
      <x:c r="F2182" s="30" t="str">
        <x:v>common</x:v>
      </x:c>
      <x:c r="G2182" s="30" t="str">
        <x:v>standard</x:v>
      </x:c>
      <x:c r="H2182" s="30" t="str">
        <x:v>year-round</x:v>
      </x:c>
      <x:c r="I21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3">
      <x:c r="A2183" s="36" t="str">
        <x:v>caribbean</x:v>
      </x:c>
      <x:c r="B2183" s="30" t="str">
        <x:v>caribbean-broad-draft-1</x:v>
      </x:c>
      <x:c r="C2183" s="30" t="n">
        <x:v>39778</x:v>
      </x:c>
      <x:c r="D2183" s="32" t="str">
        <x:v>Central Antillean slider</x:v>
      </x:c>
      <x:c r="E2183" s="32" t="str">
        <x:v>Trachemys stejnegeri</x:v>
      </x:c>
      <x:c r="F2183" s="30" t="str">
        <x:v>common</x:v>
      </x:c>
      <x:c r="G2183" s="30" t="str">
        <x:v>standard</x:v>
      </x:c>
      <x:c r="H2183" s="30" t="str">
        <x:v>year-round</x:v>
      </x:c>
      <x:c r="I21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4">
      <x:c r="A2184" s="36" t="str">
        <x:v>caribbean</x:v>
      </x:c>
      <x:c r="B2184" s="30" t="str">
        <x:v>caribbean-broad-draft-1</x:v>
      </x:c>
      <x:c r="C2184" s="30" t="n">
        <x:v>1129179</x:v>
      </x:c>
      <x:c r="D2184" s="32" t="str">
        <x:v>East Dominican Green Anole</x:v>
      </x:c>
      <x:c r="E2184" s="32" t="str">
        <x:v>Anolis callainus</x:v>
      </x:c>
      <x:c r="F2184" s="30" t="str">
        <x:v>common</x:v>
      </x:c>
      <x:c r="G2184" s="30" t="str">
        <x:v>standard</x:v>
      </x:c>
      <x:c r="H2184" s="30" t="str">
        <x:v>year-round</x:v>
      </x:c>
      <x:c r="I21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5">
      <x:c r="A2185" s="36" t="str">
        <x:v>caribbean</x:v>
      </x:c>
      <x:c r="B2185" s="30" t="str">
        <x:v>caribbean-broad-draft-1</x:v>
      </x:c>
      <x:c r="C2185" s="30" t="n">
        <x:v>540064</x:v>
      </x:c>
      <x:c r="D2185" s="32" t="str">
        <x:v>Auber's Ameiva</x:v>
      </x:c>
      <x:c r="E2185" s="32" t="str">
        <x:v>Pholidoscelis auberi</x:v>
      </x:c>
      <x:c r="F2185" s="30" t="str">
        <x:v>common</x:v>
      </x:c>
      <x:c r="G2185" s="30" t="str">
        <x:v>standard</x:v>
      </x:c>
      <x:c r="H2185" s="30" t="str">
        <x:v>year-round</x:v>
      </x:c>
      <x:c r="I21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6">
      <x:c r="A2186" s="36" t="str">
        <x:v>caribbean</x:v>
      </x:c>
      <x:c r="B2186" s="30" t="str">
        <x:v>caribbean-broad-draft-1</x:v>
      </x:c>
      <x:c r="C2186" s="30" t="n">
        <x:v>146565</x:v>
      </x:c>
      <x:c r="D2186" s="32" t="str">
        <x:v>Rhinoceros Iguana</x:v>
      </x:c>
      <x:c r="E2186" s="32" t="str">
        <x:v>Cyclura cornuta</x:v>
      </x:c>
      <x:c r="F2186" s="30" t="str">
        <x:v>common</x:v>
      </x:c>
      <x:c r="G2186" s="30" t="str">
        <x:v>standard</x:v>
      </x:c>
      <x:c r="H2186" s="30" t="str">
        <x:v>year-round</x:v>
      </x:c>
      <x:c r="I21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7">
      <x:c r="A2187" s="36" t="str">
        <x:v>caribbean</x:v>
      </x:c>
      <x:c r="B2187" s="30" t="str">
        <x:v>caribbean-broad-draft-1</x:v>
      </x:c>
      <x:c r="C2187" s="30" t="n">
        <x:v>36570</x:v>
      </x:c>
      <x:c r="D2187" s="32" t="str">
        <x:v>Allison's Anole</x:v>
      </x:c>
      <x:c r="E2187" s="32" t="str">
        <x:v>Anolis allisoni</x:v>
      </x:c>
      <x:c r="F2187" s="30" t="str">
        <x:v>common</x:v>
      </x:c>
      <x:c r="G2187" s="30" t="str">
        <x:v>standard</x:v>
      </x:c>
      <x:c r="H2187" s="30" t="str">
        <x:v>year-round</x:v>
      </x:c>
      <x:c r="I21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8">
      <x:c r="A2188" s="36" t="str">
        <x:v>caribbean</x:v>
      </x:c>
      <x:c r="B2188" s="30" t="str">
        <x:v>caribbean-broad-draft-1</x:v>
      </x:c>
      <x:c r="C2188" s="30" t="n">
        <x:v>36372</x:v>
      </x:c>
      <x:c r="D2188" s="32" t="str">
        <x:v>Habana Anole</x:v>
      </x:c>
      <x:c r="E2188" s="32" t="str">
        <x:v>Anolis homolechis</x:v>
      </x:c>
      <x:c r="F2188" s="30" t="str">
        <x:v>common</x:v>
      </x:c>
      <x:c r="G2188" s="30" t="str">
        <x:v>standard</x:v>
      </x:c>
      <x:c r="H2188" s="30" t="str">
        <x:v>year-round</x:v>
      </x:c>
      <x:c r="I21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89">
      <x:c r="A2189" s="36" t="str">
        <x:v>caribbean</x:v>
      </x:c>
      <x:c r="B2189" s="30" t="str">
        <x:v>caribbean-broad-draft-1</x:v>
      </x:c>
      <x:c r="C2189" s="30" t="n">
        <x:v>39672</x:v>
      </x:c>
      <x:c r="D2189" s="32" t="str">
        <x:v>Hawksbill Sea Turtle</x:v>
      </x:c>
      <x:c r="E2189" s="32" t="str">
        <x:v>Eretmochelys imbricata</x:v>
      </x:c>
      <x:c r="F2189" s="30" t="str">
        <x:v>common</x:v>
      </x:c>
      <x:c r="G2189" s="30" t="str">
        <x:v>legendary</x:v>
      </x:c>
      <x:c r="H2189" s="30" t="str">
        <x:v>year-round</x:v>
      </x:c>
      <x:c r="I2189" s="37" t="str">
        <x:v>Owner-managed caribbean icon checklist; imported from caribbean_checklists.csv. Encounter rarity and prestige are curated game metadata. Automated rarity: inaturalist-regional-frequency-v1.</x:v>
      </x:c>
    </x:row>
    <x:row r="2190">
      <x:c r="A2190" s="36" t="str">
        <x:v>caribbean</x:v>
      </x:c>
      <x:c r="B2190" s="30" t="str">
        <x:v>caribbean-broad-draft-1</x:v>
      </x:c>
      <x:c r="C2190" s="30" t="n">
        <x:v>35345</x:v>
      </x:c>
      <x:c r="D2190" s="32" t="str">
        <x:v>Lesser Antillean Iguana</x:v>
      </x:c>
      <x:c r="E2190" s="32" t="str">
        <x:v>Iguana delicatissima</x:v>
      </x:c>
      <x:c r="F2190" s="30" t="str">
        <x:v>common</x:v>
      </x:c>
      <x:c r="G2190" s="30" t="str">
        <x:v>standard</x:v>
      </x:c>
      <x:c r="H2190" s="30" t="str">
        <x:v>year-round</x:v>
      </x:c>
      <x:c r="I21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1">
      <x:c r="A2191" s="36" t="str">
        <x:v>caribbean</x:v>
      </x:c>
      <x:c r="B2191" s="30" t="str">
        <x:v>caribbean-broad-draft-1</x:v>
      </x:c>
      <x:c r="C2191" s="30" t="n">
        <x:v>539461</x:v>
      </x:c>
      <x:c r="D2191" s="32" t="str">
        <x:v>Puerto Rican Boa</x:v>
      </x:c>
      <x:c r="E2191" s="32" t="str">
        <x:v>Chilabothrus inornatus</x:v>
      </x:c>
      <x:c r="F2191" s="30" t="str">
        <x:v>common</x:v>
      </x:c>
      <x:c r="G2191" s="30" t="str">
        <x:v>standard</x:v>
      </x:c>
      <x:c r="H2191" s="30" t="str">
        <x:v>year-round</x:v>
      </x:c>
      <x:c r="I21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2">
      <x:c r="A2192" s="36" t="str">
        <x:v>caribbean</x:v>
      </x:c>
      <x:c r="B2192" s="30" t="str">
        <x:v>caribbean-broad-draft-1</x:v>
      </x:c>
      <x:c r="C2192" s="30" t="n">
        <x:v>81525</x:v>
      </x:c>
      <x:c r="D2192" s="32" t="str">
        <x:v>Cuban Ground Iguana</x:v>
      </x:c>
      <x:c r="E2192" s="32" t="str">
        <x:v>Cyclura nubila</x:v>
      </x:c>
      <x:c r="F2192" s="30" t="str">
        <x:v>common</x:v>
      </x:c>
      <x:c r="G2192" s="30" t="str">
        <x:v>standard</x:v>
      </x:c>
      <x:c r="H2192" s="30" t="str">
        <x:v>year-round</x:v>
      </x:c>
      <x:c r="I21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3">
      <x:c r="A2193" s="36" t="str">
        <x:v>caribbean</x:v>
      </x:c>
      <x:c r="B2193" s="30" t="str">
        <x:v>caribbean-broad-draft-1</x:v>
      </x:c>
      <x:c r="C2193" s="30" t="n">
        <x:v>94158</x:v>
      </x:c>
      <x:c r="D2193" s="32" t="str">
        <x:v>Jamaican Giant Anole</x:v>
      </x:c>
      <x:c r="E2193" s="32" t="str">
        <x:v>Anolis garmani</x:v>
      </x:c>
      <x:c r="F2193" s="30" t="str">
        <x:v>common</x:v>
      </x:c>
      <x:c r="G2193" s="30" t="str">
        <x:v>standard</x:v>
      </x:c>
      <x:c r="H2193" s="30" t="str">
        <x:v>year-round</x:v>
      </x:c>
      <x:c r="I21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4">
      <x:c r="A2194" s="36" t="str">
        <x:v>caribbean</x:v>
      </x:c>
      <x:c r="B2194" s="30" t="str">
        <x:v>caribbean-broad-draft-1</x:v>
      </x:c>
      <x:c r="C2194" s="30" t="n">
        <x:v>1119889</x:v>
      </x:c>
      <x:c r="D2194" s="32" t="str">
        <x:v>Big-scaled least gecko</x:v>
      </x:c>
      <x:c r="E2194" s="32" t="str">
        <x:v>Sphaerodactylus grandisquamis</x:v>
      </x:c>
      <x:c r="F2194" s="30" t="str">
        <x:v>common</x:v>
      </x:c>
      <x:c r="G2194" s="30" t="str">
        <x:v>standard</x:v>
      </x:c>
      <x:c r="H2194" s="30" t="str">
        <x:v>year-round</x:v>
      </x:c>
      <x:c r="I21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5">
      <x:c r="A2195" s="36" t="str">
        <x:v>caribbean</x:v>
      </x:c>
      <x:c r="B2195" s="30" t="str">
        <x:v>caribbean-broad-draft-1</x:v>
      </x:c>
      <x:c r="C2195" s="30" t="n">
        <x:v>36580</x:v>
      </x:c>
      <x:c r="D2195" s="32" t="str">
        <x:v>Saint Croix Anole</x:v>
      </x:c>
      <x:c r="E2195" s="32" t="str">
        <x:v>Anolis acutus</x:v>
      </x:c>
      <x:c r="F2195" s="30" t="str">
        <x:v>common</x:v>
      </x:c>
      <x:c r="G2195" s="30" t="str">
        <x:v>standard</x:v>
      </x:c>
      <x:c r="H2195" s="30" t="str">
        <x:v>year-round</x:v>
      </x:c>
      <x:c r="I21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6">
      <x:c r="A2196" s="36" t="str">
        <x:v>caribbean</x:v>
      </x:c>
      <x:c r="B2196" s="30" t="str">
        <x:v>caribbean-broad-draft-1</x:v>
      </x:c>
      <x:c r="C2196" s="30" t="n">
        <x:v>39345</x:v>
      </x:c>
      <x:c r="D2196" s="32" t="str">
        <x:v>Haitian Curlytail Lizard</x:v>
      </x:c>
      <x:c r="E2196" s="32" t="str">
        <x:v>Leiocephalus personatus</x:v>
      </x:c>
      <x:c r="F2196" s="30" t="str">
        <x:v>common</x:v>
      </x:c>
      <x:c r="G2196" s="30" t="str">
        <x:v>standard</x:v>
      </x:c>
      <x:c r="H2196" s="30" t="str">
        <x:v>year-round</x:v>
      </x:c>
      <x:c r="I21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7">
      <x:c r="A2197" s="36" t="str">
        <x:v>caribbean</x:v>
      </x:c>
      <x:c r="B2197" s="30" t="str">
        <x:v>caribbean-broad-draft-1</x:v>
      </x:c>
      <x:c r="C2197" s="30" t="n">
        <x:v>39782</x:v>
      </x:c>
      <x:c r="D2197" s="32" t="str">
        <x:v>Pond Slider</x:v>
      </x:c>
      <x:c r="E2197" s="32" t="str">
        <x:v>Trachemys scripta</x:v>
      </x:c>
      <x:c r="F2197" s="30" t="str">
        <x:v>common</x:v>
      </x:c>
      <x:c r="G2197" s="30" t="str">
        <x:v>standard</x:v>
      </x:c>
      <x:c r="H2197" s="30" t="str">
        <x:v>year-round</x:v>
      </x:c>
      <x:c r="I21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8">
      <x:c r="A2198" s="36" t="str">
        <x:v>caribbean</x:v>
      </x:c>
      <x:c r="B2198" s="30" t="str">
        <x:v>caribbean-broad-draft-1</x:v>
      </x:c>
      <x:c r="C2198" s="30" t="n">
        <x:v>36558</x:v>
      </x:c>
      <x:c r="D2198" s="32" t="str">
        <x:v>Guantanamo Anole</x:v>
      </x:c>
      <x:c r="E2198" s="32" t="str">
        <x:v>Anolis argenteolus</x:v>
      </x:c>
      <x:c r="F2198" s="30" t="str">
        <x:v>common</x:v>
      </x:c>
      <x:c r="G2198" s="30" t="str">
        <x:v>standard</x:v>
      </x:c>
      <x:c r="H2198" s="30" t="str">
        <x:v>year-round</x:v>
      </x:c>
      <x:c r="I21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199">
      <x:c r="A2199" s="36" t="str">
        <x:v>caribbean</x:v>
      </x:c>
      <x:c r="B2199" s="30" t="str">
        <x:v>caribbean-broad-draft-1</x:v>
      </x:c>
      <x:c r="C2199" s="30" t="n">
        <x:v>36696</x:v>
      </x:c>
      <x:c r="D2199" s="32" t="str">
        <x:v>Les Saintes Anole</x:v>
      </x:c>
      <x:c r="E2199" s="32" t="str">
        <x:v>Anolis terraealtae</x:v>
      </x:c>
      <x:c r="F2199" s="30" t="str">
        <x:v>common</x:v>
      </x:c>
      <x:c r="G2199" s="30" t="str">
        <x:v>standard</x:v>
      </x:c>
      <x:c r="H2199" s="30" t="str">
        <x:v>year-round</x:v>
      </x:c>
      <x:c r="I21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0">
      <x:c r="A2200" s="36" t="str">
        <x:v>caribbean</x:v>
      </x:c>
      <x:c r="B2200" s="30" t="str">
        <x:v>caribbean-broad-draft-1</x:v>
      </x:c>
      <x:c r="C2200" s="30" t="n">
        <x:v>36485</x:v>
      </x:c>
      <x:c r="D2200" s="32" t="str">
        <x:v>Cuvier's Anole</x:v>
      </x:c>
      <x:c r="E2200" s="32" t="str">
        <x:v>Anolis cuvieri</x:v>
      </x:c>
      <x:c r="F2200" s="30" t="str">
        <x:v>common</x:v>
      </x:c>
      <x:c r="G2200" s="30" t="str">
        <x:v>standard</x:v>
      </x:c>
      <x:c r="H2200" s="30" t="str">
        <x:v>year-round</x:v>
      </x:c>
      <x:c r="I22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1">
      <x:c r="A2201" s="36" t="str">
        <x:v>caribbean</x:v>
      </x:c>
      <x:c r="B2201" s="30" t="str">
        <x:v>caribbean-broad-draft-1</x:v>
      </x:c>
      <x:c r="C2201" s="30" t="n">
        <x:v>94169</x:v>
      </x:c>
      <x:c r="D2201" s="32" t="str">
        <x:v>Bluefields Anole</x:v>
      </x:c>
      <x:c r="E2201" s="32" t="str">
        <x:v>Anolis opalinus</x:v>
      </x:c>
      <x:c r="F2201" s="30" t="str">
        <x:v>common</x:v>
      </x:c>
      <x:c r="G2201" s="30" t="str">
        <x:v>standard</x:v>
      </x:c>
      <x:c r="H2201" s="30" t="str">
        <x:v>year-round</x:v>
      </x:c>
      <x:c r="I22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2">
      <x:c r="A2202" s="36" t="str">
        <x:v>caribbean</x:v>
      </x:c>
      <x:c r="B2202" s="30" t="str">
        <x:v>caribbean-broad-draft-1</x:v>
      </x:c>
      <x:c r="C2202" s="30" t="n">
        <x:v>39292</x:v>
      </x:c>
      <x:c r="D2202" s="32" t="str">
        <x:v>Cuban Curlytail Lizard</x:v>
      </x:c>
      <x:c r="E2202" s="32" t="str">
        <x:v>Leiocephalus cubensis</x:v>
      </x:c>
      <x:c r="F2202" s="30" t="str">
        <x:v>common</x:v>
      </x:c>
      <x:c r="G2202" s="30" t="str">
        <x:v>standard</x:v>
      </x:c>
      <x:c r="H2202" s="30" t="str">
        <x:v>year-round</x:v>
      </x:c>
      <x:c r="I22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3">
      <x:c r="A2203" s="36" t="str">
        <x:v>caribbean</x:v>
      </x:c>
      <x:c r="B2203" s="30" t="str">
        <x:v>caribbean-broad-draft-1</x:v>
      </x:c>
      <x:c r="C2203" s="30" t="n">
        <x:v>1148910</x:v>
      </x:c>
      <x:c r="D2203" s="32" t="str">
        <x:v>Cordillera Oriental Stout Anole</x:v>
      </x:c>
      <x:c r="E2203" s="32" t="str">
        <x:v>Anolis higuey</x:v>
      </x:c>
      <x:c r="F2203" s="30" t="str">
        <x:v>common</x:v>
      </x:c>
      <x:c r="G2203" s="30" t="str">
        <x:v>standard</x:v>
      </x:c>
      <x:c r="H2203" s="30" t="str">
        <x:v>year-round</x:v>
      </x:c>
      <x:c r="I22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4">
      <x:c r="A2204" s="36" t="str">
        <x:v>caribbean</x:v>
      </x:c>
      <x:c r="B2204" s="30" t="str">
        <x:v>caribbean-broad-draft-1</x:v>
      </x:c>
      <x:c r="C2204" s="30" t="n">
        <x:v>104226</x:v>
      </x:c>
      <x:c r="D2204" s="32" t="str">
        <x:v>Mourning Gecko</x:v>
      </x:c>
      <x:c r="E2204" s="32" t="str">
        <x:v>Lepidodactylus lugubris</x:v>
      </x:c>
      <x:c r="F2204" s="30" t="str">
        <x:v>common</x:v>
      </x:c>
      <x:c r="G2204" s="30" t="str">
        <x:v>standard</x:v>
      </x:c>
      <x:c r="H2204" s="30" t="str">
        <x:v>year-round</x:v>
      </x:c>
      <x:c r="I22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5">
      <x:c r="A2205" s="36" t="str">
        <x:v>caribbean</x:v>
      </x:c>
      <x:c r="B2205" s="30" t="str">
        <x:v>caribbean-broad-draft-1</x:v>
      </x:c>
      <x:c r="C2205" s="30" t="n">
        <x:v>26085</x:v>
      </x:c>
      <x:c r="D2205" s="32" t="str">
        <x:v>American Crocodile</x:v>
      </x:c>
      <x:c r="E2205" s="32" t="str">
        <x:v>Crocodylus acutus</x:v>
      </x:c>
      <x:c r="F2205" s="30" t="str">
        <x:v>common</x:v>
      </x:c>
      <x:c r="G2205" s="30" t="str">
        <x:v>standard</x:v>
      </x:c>
      <x:c r="H2205" s="30" t="str">
        <x:v>year-round</x:v>
      </x:c>
      <x:c r="I22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6">
      <x:c r="A2206" s="36" t="str">
        <x:v>caribbean</x:v>
      </x:c>
      <x:c r="B2206" s="30" t="str">
        <x:v>caribbean-broad-draft-1</x:v>
      </x:c>
      <x:c r="C2206" s="30" t="n">
        <x:v>39361</x:v>
      </x:c>
      <x:c r="D2206" s="32" t="str">
        <x:v>Monte Verde Curlytail Lizard</x:v>
      </x:c>
      <x:c r="E2206" s="32" t="str">
        <x:v>Leiocephalus macropus</x:v>
      </x:c>
      <x:c r="F2206" s="30" t="str">
        <x:v>common</x:v>
      </x:c>
      <x:c r="G2206" s="30" t="str">
        <x:v>standard</x:v>
      </x:c>
      <x:c r="H2206" s="30" t="str">
        <x:v>year-round</x:v>
      </x:c>
      <x:c r="I22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7">
      <x:c r="A2207" s="36" t="str">
        <x:v>caribbean</x:v>
      </x:c>
      <x:c r="B2207" s="30" t="str">
        <x:v>caribbean-broad-draft-1</x:v>
      </x:c>
      <x:c r="C2207" s="30" t="n">
        <x:v>30131</x:v>
      </x:c>
      <x:c r="D2207" s="32" t="str">
        <x:v>Cuban Racer</x:v>
      </x:c>
      <x:c r="E2207" s="32" t="str">
        <x:v>Cubophis cantherigerus</x:v>
      </x:c>
      <x:c r="F2207" s="30" t="str">
        <x:v>common</x:v>
      </x:c>
      <x:c r="G2207" s="30" t="str">
        <x:v>standard</x:v>
      </x:c>
      <x:c r="H2207" s="30" t="str">
        <x:v>year-round</x:v>
      </x:c>
      <x:c r="I22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8">
      <x:c r="A2208" s="36" t="str">
        <x:v>caribbean</x:v>
      </x:c>
      <x:c r="B2208" s="30" t="str">
        <x:v>caribbean-broad-draft-1</x:v>
      </x:c>
      <x:c r="C2208" s="30" t="n">
        <x:v>51940</x:v>
      </x:c>
      <x:c r="D2208" s="32" t="str">
        <x:v>Asian House Gecko</x:v>
      </x:c>
      <x:c r="E2208" s="32" t="str">
        <x:v>Hemidactylus frenatus</x:v>
      </x:c>
      <x:c r="F2208" s="30" t="str">
        <x:v>common</x:v>
      </x:c>
      <x:c r="G2208" s="30" t="str">
        <x:v>standard</x:v>
      </x:c>
      <x:c r="H2208" s="30" t="str">
        <x:v>year-round</x:v>
      </x:c>
      <x:c r="I22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09">
      <x:c r="A2209" s="36" t="str">
        <x:v>caribbean</x:v>
      </x:c>
      <x:c r="B2209" s="30" t="str">
        <x:v>caribbean-broad-draft-1</x:v>
      </x:c>
      <x:c r="C2209" s="30" t="n">
        <x:v>1148908</x:v>
      </x:c>
      <x:c r="D2209" s="32" t="str">
        <x:v>Desert Stout Anole</x:v>
      </x:c>
      <x:c r="E2209" s="32" t="str">
        <x:v>Anolis aridius</x:v>
      </x:c>
      <x:c r="F2209" s="30" t="str">
        <x:v>common</x:v>
      </x:c>
      <x:c r="G2209" s="30" t="str">
        <x:v>standard</x:v>
      </x:c>
      <x:c r="H2209" s="30" t="str">
        <x:v>year-round</x:v>
      </x:c>
      <x:c r="I22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0">
      <x:c r="A2210" s="36" t="str">
        <x:v>caribbean</x:v>
      </x:c>
      <x:c r="B2210" s="30" t="str">
        <x:v>caribbean-broad-draft-1</x:v>
      </x:c>
      <x:c r="C2210" s="30" t="n">
        <x:v>32093</x:v>
      </x:c>
      <x:c r="D2210" s="32" t="str">
        <x:v>Boa Constrictor</x:v>
      </x:c>
      <x:c r="E2210" s="32" t="str">
        <x:v>Boa constrictor</x:v>
      </x:c>
      <x:c r="F2210" s="30" t="str">
        <x:v>common</x:v>
      </x:c>
      <x:c r="G2210" s="30" t="str">
        <x:v>standard</x:v>
      </x:c>
      <x:c r="H2210" s="30" t="str">
        <x:v>year-round</x:v>
      </x:c>
      <x:c r="I22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1">
      <x:c r="A2211" s="36" t="str">
        <x:v>caribbean</x:v>
      </x:c>
      <x:c r="B2211" s="30" t="str">
        <x:v>caribbean-broad-draft-1</x:v>
      </x:c>
      <x:c r="C2211" s="30" t="n">
        <x:v>539039</x:v>
      </x:c>
      <x:c r="D2211" s="32" t="str">
        <x:v>Red-footed Tortoise</x:v>
      </x:c>
      <x:c r="E2211" s="32" t="str">
        <x:v>Chelonoidis carbonarius</x:v>
      </x:c>
      <x:c r="F2211" s="30" t="str">
        <x:v>common</x:v>
      </x:c>
      <x:c r="G2211" s="30" t="str">
        <x:v>standard</x:v>
      </x:c>
      <x:c r="H2211" s="30" t="str">
        <x:v>year-round</x:v>
      </x:c>
      <x:c r="I22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2">
      <x:c r="A2212" s="36" t="str">
        <x:v>caribbean</x:v>
      </x:c>
      <x:c r="B2212" s="30" t="str">
        <x:v>caribbean-broad-draft-1</x:v>
      </x:c>
      <x:c r="C2212" s="30" t="n">
        <x:v>33560</x:v>
      </x:c>
      <x:c r="D2212" s="32" t="str">
        <x:v>Croaking Lizard</x:v>
      </x:c>
      <x:c r="E2212" s="32" t="str">
        <x:v>Aristelliger praesignis</x:v>
      </x:c>
      <x:c r="F2212" s="30" t="str">
        <x:v>common</x:v>
      </x:c>
      <x:c r="G2212" s="30" t="str">
        <x:v>standard</x:v>
      </x:c>
      <x:c r="H2212" s="30" t="str">
        <x:v>year-round</x:v>
      </x:c>
      <x:c r="I22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3">
      <x:c r="A2213" s="36" t="str">
        <x:v>caribbean</x:v>
      </x:c>
      <x:c r="B2213" s="30" t="str">
        <x:v>caribbean-broad-draft-1</x:v>
      </x:c>
      <x:c r="C2213" s="30" t="n">
        <x:v>36432</x:v>
      </x:c>
      <x:c r="D2213" s="32" t="str">
        <x:v>Anguilla Anole</x:v>
      </x:c>
      <x:c r="E2213" s="32" t="str">
        <x:v>Anolis gingivinus</x:v>
      </x:c>
      <x:c r="F2213" s="30" t="str">
        <x:v>common</x:v>
      </x:c>
      <x:c r="G2213" s="30" t="str">
        <x:v>standard</x:v>
      </x:c>
      <x:c r="H2213" s="30" t="str">
        <x:v>year-round</x:v>
      </x:c>
      <x:c r="I22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4">
      <x:c r="A2214" s="36" t="str">
        <x:v>caribbean</x:v>
      </x:c>
      <x:c r="B2214" s="30" t="str">
        <x:v>caribbean-broad-draft-1</x:v>
      </x:c>
      <x:c r="C2214" s="30" t="n">
        <x:v>567060</x:v>
      </x:c>
      <x:c r="D2214" s="32" t="str">
        <x:v>Hispaniolan Giant Ameiva</x:v>
      </x:c>
      <x:c r="E2214" s="32" t="str">
        <x:v>Pholidoscelis chrysolaemus</x:v>
      </x:c>
      <x:c r="F2214" s="30" t="str">
        <x:v>common</x:v>
      </x:c>
      <x:c r="G2214" s="30" t="str">
        <x:v>standard</x:v>
      </x:c>
      <x:c r="H2214" s="30" t="str">
        <x:v>year-round</x:v>
      </x:c>
      <x:c r="I22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5">
      <x:c r="A2215" s="36" t="str">
        <x:v>caribbean</x:v>
      </x:c>
      <x:c r="B2215" s="30" t="str">
        <x:v>caribbean-broad-draft-1</x:v>
      </x:c>
      <x:c r="C2215" s="30" t="n">
        <x:v>146059</x:v>
      </x:c>
      <x:c r="D2215" s="32" t="str">
        <x:v>Hispaniolan Ground Iguana</x:v>
      </x:c>
      <x:c r="E2215" s="32" t="str">
        <x:v>Cyclura ricordii</x:v>
      </x:c>
      <x:c r="F2215" s="30" t="str">
        <x:v>common</x:v>
      </x:c>
      <x:c r="G2215" s="30" t="str">
        <x:v>standard</x:v>
      </x:c>
      <x:c r="H2215" s="30" t="str">
        <x:v>year-round</x:v>
      </x:c>
      <x:c r="I22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6">
      <x:c r="A2216" s="36" t="str">
        <x:v>caribbean</x:v>
      </x:c>
      <x:c r="B2216" s="30" t="str">
        <x:v>caribbean-broad-draft-1</x:v>
      </x:c>
      <x:c r="C2216" s="30" t="n">
        <x:v>114268</x:v>
      </x:c>
      <x:c r="D2216" s="32" t="str">
        <x:v>Cuban Slider</x:v>
      </x:c>
      <x:c r="E2216" s="32" t="str">
        <x:v>Trachemys decussata</x:v>
      </x:c>
      <x:c r="F2216" s="30" t="str">
        <x:v>common</x:v>
      </x:c>
      <x:c r="G2216" s="30" t="str">
        <x:v>standard</x:v>
      </x:c>
      <x:c r="H2216" s="30" t="str">
        <x:v>year-round</x:v>
      </x:c>
      <x:c r="I22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7">
      <x:c r="A2217" s="36" t="str">
        <x:v>caribbean</x:v>
      </x:c>
      <x:c r="B2217" s="30" t="str">
        <x:v>caribbean-broad-draft-1</x:v>
      </x:c>
      <x:c r="C2217" s="30" t="n">
        <x:v>539340</x:v>
      </x:c>
      <x:c r="D2217" s="32" t="str">
        <x:v>Barahona Green Anole</x:v>
      </x:c>
      <x:c r="E2217" s="32" t="str">
        <x:v>Anolis viridius</x:v>
      </x:c>
      <x:c r="F2217" s="30" t="str">
        <x:v>common</x:v>
      </x:c>
      <x:c r="G2217" s="30" t="str">
        <x:v>standard</x:v>
      </x:c>
      <x:c r="H2217" s="30" t="str">
        <x:v>year-round</x:v>
      </x:c>
      <x:c r="I22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8">
      <x:c r="A2218" s="36" t="str">
        <x:v>caribbean</x:v>
      </x:c>
      <x:c r="B2218" s="30" t="str">
        <x:v>caribbean-broad-draft-1</x:v>
      </x:c>
      <x:c r="C2218" s="30" t="n">
        <x:v>32314</x:v>
      </x:c>
      <x:c r="D2218" s="32" t="str">
        <x:v>Cuban Dwarf Boa</x:v>
      </x:c>
      <x:c r="E2218" s="32" t="str">
        <x:v>Tropidophis melanurus</x:v>
      </x:c>
      <x:c r="F2218" s="30" t="str">
        <x:v>common</x:v>
      </x:c>
      <x:c r="G2218" s="30" t="str">
        <x:v>standard</x:v>
      </x:c>
      <x:c r="H2218" s="30" t="str">
        <x:v>year-round</x:v>
      </x:c>
      <x:c r="I22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19">
      <x:c r="A2219" s="36" t="str">
        <x:v>caribbean</x:v>
      </x:c>
      <x:c r="B2219" s="30" t="str">
        <x:v>caribbean-broad-draft-1</x:v>
      </x:c>
      <x:c r="C2219" s="30" t="n">
        <x:v>36613</x:v>
      </x:c>
      <x:c r="D2219" s="32" t="str">
        <x:v>Bahamian Green Anole</x:v>
      </x:c>
      <x:c r="E2219" s="32" t="str">
        <x:v>Anolis smaragdinus</x:v>
      </x:c>
      <x:c r="F2219" s="30" t="str">
        <x:v>common</x:v>
      </x:c>
      <x:c r="G2219" s="30" t="str">
        <x:v>standard</x:v>
      </x:c>
      <x:c r="H2219" s="30" t="str">
        <x:v>year-round</x:v>
      </x:c>
      <x:c r="I22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0">
      <x:c r="A2220" s="36" t="str">
        <x:v>caribbean</x:v>
      </x:c>
      <x:c r="B2220" s="30" t="str">
        <x:v>caribbean-broad-draft-1</x:v>
      </x:c>
      <x:c r="C2220" s="30" t="n">
        <x:v>35290</x:v>
      </x:c>
      <x:c r="D2220" s="32" t="str">
        <x:v>Allen's Island Iguana</x:v>
      </x:c>
      <x:c r="E2220" s="32" t="str">
        <x:v>Cyclura cychlura</x:v>
      </x:c>
      <x:c r="F2220" s="30" t="str">
        <x:v>common</x:v>
      </x:c>
      <x:c r="G2220" s="30" t="str">
        <x:v>standard</x:v>
      </x:c>
      <x:c r="H2220" s="30" t="str">
        <x:v>year-round</x:v>
      </x:c>
      <x:c r="I22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1">
      <x:c r="A2221" s="36" t="str">
        <x:v>caribbean</x:v>
      </x:c>
      <x:c r="B2221" s="30" t="str">
        <x:v>caribbean-broad-draft-1</x:v>
      </x:c>
      <x:c r="C2221" s="30" t="n">
        <x:v>39322</x:v>
      </x:c>
      <x:c r="D2221" s="32" t="str">
        <x:v>Hispaniolan Khaki Curlytail</x:v>
      </x:c>
      <x:c r="E2221" s="32" t="str">
        <x:v>Leiocephalus schreibersii</x:v>
      </x:c>
      <x:c r="F2221" s="30" t="str">
        <x:v>common</x:v>
      </x:c>
      <x:c r="G2221" s="30" t="str">
        <x:v>standard</x:v>
      </x:c>
      <x:c r="H2221" s="30" t="str">
        <x:v>year-round</x:v>
      </x:c>
      <x:c r="I22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2">
      <x:c r="A2222" s="36" t="str">
        <x:v>caribbean</x:v>
      </x:c>
      <x:c r="B2222" s="30" t="str">
        <x:v>caribbean-broad-draft-1</x:v>
      </x:c>
      <x:c r="C2222" s="30" t="n">
        <x:v>30112</x:v>
      </x:c>
      <x:c r="D2222" s="32" t="str">
        <x:v>Bahamian Racer</x:v>
      </x:c>
      <x:c r="E2222" s="32" t="str">
        <x:v>Cubophis vudii</x:v>
      </x:c>
      <x:c r="F2222" s="30" t="str">
        <x:v>common</x:v>
      </x:c>
      <x:c r="G2222" s="30" t="str">
        <x:v>standard</x:v>
      </x:c>
      <x:c r="H2222" s="30" t="str">
        <x:v>year-round</x:v>
      </x:c>
      <x:c r="I22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3">
      <x:c r="A2223" s="36" t="str">
        <x:v>caribbean</x:v>
      </x:c>
      <x:c r="B2223" s="30" t="str">
        <x:v>caribbean-broad-draft-1</x:v>
      </x:c>
      <x:c r="C2223" s="30" t="n">
        <x:v>474355</x:v>
      </x:c>
      <x:c r="D2223" s="32" t="str">
        <x:v>Hispaniolan Boa</x:v>
      </x:c>
      <x:c r="E2223" s="32" t="str">
        <x:v>Chilabothrus striatus</x:v>
      </x:c>
      <x:c r="F2223" s="30" t="str">
        <x:v>common</x:v>
      </x:c>
      <x:c r="G2223" s="30" t="str">
        <x:v>standard</x:v>
      </x:c>
      <x:c r="H2223" s="30" t="str">
        <x:v>year-round</x:v>
      </x:c>
      <x:c r="I22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4">
      <x:c r="A2224" s="36" t="str">
        <x:v>caribbean</x:v>
      </x:c>
      <x:c r="B2224" s="30" t="str">
        <x:v>caribbean-broad-draft-1</x:v>
      </x:c>
      <x:c r="C2224" s="30" t="n">
        <x:v>28605</x:v>
      </x:c>
      <x:c r="D2224" s="32" t="str">
        <x:v>Cope's Antilles Snake</x:v>
      </x:c>
      <x:c r="E2224" s="32" t="str">
        <x:v>Hypsirhynchus parvifrons</x:v>
      </x:c>
      <x:c r="F2224" s="30" t="str">
        <x:v>common</x:v>
      </x:c>
      <x:c r="G2224" s="30" t="str">
        <x:v>standard</x:v>
      </x:c>
      <x:c r="H2224" s="30" t="str">
        <x:v>year-round</x:v>
      </x:c>
      <x:c r="I22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5">
      <x:c r="A2225" s="36" t="str">
        <x:v>caribbean</x:v>
      </x:c>
      <x:c r="B2225" s="30" t="str">
        <x:v>caribbean-broad-draft-1</x:v>
      </x:c>
      <x:c r="C2225" s="30" t="n">
        <x:v>36391</x:v>
      </x:c>
      <x:c r="D2225" s="32" t="str">
        <x:v>Knight Anole</x:v>
      </x:c>
      <x:c r="E2225" s="32" t="str">
        <x:v>Anolis equestris</x:v>
      </x:c>
      <x:c r="F2225" s="30" t="str">
        <x:v>common</x:v>
      </x:c>
      <x:c r="G2225" s="30" t="str">
        <x:v>standard</x:v>
      </x:c>
      <x:c r="H2225" s="30" t="str">
        <x:v>year-round</x:v>
      </x:c>
      <x:c r="I22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6">
      <x:c r="A2226" s="36" t="str">
        <x:v>caribbean</x:v>
      </x:c>
      <x:c r="B2226" s="30" t="str">
        <x:v>caribbean-broad-draft-1</x:v>
      </x:c>
      <x:c r="C2226" s="30" t="n">
        <x:v>36720</x:v>
      </x:c>
      <x:c r="D2226" s="32" t="str">
        <x:v>Cave Anole</x:v>
      </x:c>
      <x:c r="E2226" s="32" t="str">
        <x:v>Anolis lucius</x:v>
      </x:c>
      <x:c r="F2226" s="30" t="str">
        <x:v>common</x:v>
      </x:c>
      <x:c r="G2226" s="30" t="str">
        <x:v>standard</x:v>
      </x:c>
      <x:c r="H2226" s="30" t="str">
        <x:v>year-round</x:v>
      </x:c>
      <x:c r="I22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7">
      <x:c r="A2227" s="36" t="str">
        <x:v>caribbean</x:v>
      </x:c>
      <x:c r="B2227" s="30" t="str">
        <x:v>caribbean-broad-draft-1</x:v>
      </x:c>
      <x:c r="C2227" s="30" t="n">
        <x:v>116389</x:v>
      </x:c>
      <x:c r="D2227" s="32" t="str">
        <x:v>Bueycito Anole</x:v>
      </x:c>
      <x:c r="E2227" s="32" t="str">
        <x:v>Anolis allogus</x:v>
      </x:c>
      <x:c r="F2227" s="30" t="str">
        <x:v>common</x:v>
      </x:c>
      <x:c r="G2227" s="30" t="str">
        <x:v>standard</x:v>
      </x:c>
      <x:c r="H2227" s="30" t="str">
        <x:v>year-round</x:v>
      </x:c>
      <x:c r="I22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8">
      <x:c r="A2228" s="36" t="str">
        <x:v>caribbean</x:v>
      </x:c>
      <x:c r="B2228" s="30" t="str">
        <x:v>caribbean-broad-draft-1</x:v>
      </x:c>
      <x:c r="C2228" s="30" t="n">
        <x:v>36441</x:v>
      </x:c>
      <x:c r="D2228" s="32" t="str">
        <x:v>Morne Constant Anole</x:v>
      </x:c>
      <x:c r="E2228" s="32" t="str">
        <x:v>Anolis ferreus</x:v>
      </x:c>
      <x:c r="F2228" s="30" t="str">
        <x:v>common</x:v>
      </x:c>
      <x:c r="G2228" s="30" t="str">
        <x:v>standard</x:v>
      </x:c>
      <x:c r="H2228" s="30" t="str">
        <x:v>year-round</x:v>
      </x:c>
      <x:c r="I22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29">
      <x:c r="A2229" s="36" t="str">
        <x:v>caribbean</x:v>
      </x:c>
      <x:c r="B2229" s="30" t="str">
        <x:v>caribbean-broad-draft-1</x:v>
      </x:c>
      <x:c r="C2229" s="30" t="n">
        <x:v>28169</x:v>
      </x:c>
      <x:c r="D2229" s="32" t="str">
        <x:v>Catesby's Pointed Snake</x:v>
      </x:c>
      <x:c r="E2229" s="32" t="str">
        <x:v>Uromacer catesbyi</x:v>
      </x:c>
      <x:c r="F2229" s="30" t="str">
        <x:v>common</x:v>
      </x:c>
      <x:c r="G2229" s="30" t="str">
        <x:v>standard</x:v>
      </x:c>
      <x:c r="H2229" s="30" t="str">
        <x:v>year-round</x:v>
      </x:c>
      <x:c r="I22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0">
      <x:c r="A2230" s="36" t="str">
        <x:v>caribbean</x:v>
      </x:c>
      <x:c r="B2230" s="30" t="str">
        <x:v>caribbean-broad-draft-1</x:v>
      </x:c>
      <x:c r="C2230" s="30" t="n">
        <x:v>36623</x:v>
      </x:c>
      <x:c r="D2230" s="32" t="str">
        <x:v>Half-lined Hispaniolan Grass Anole</x:v>
      </x:c>
      <x:c r="E2230" s="32" t="str">
        <x:v>Anolis semilineatus</x:v>
      </x:c>
      <x:c r="F2230" s="30" t="str">
        <x:v>common</x:v>
      </x:c>
      <x:c r="G2230" s="30" t="str">
        <x:v>standard</x:v>
      </x:c>
      <x:c r="H2230" s="30" t="str">
        <x:v>year-round</x:v>
      </x:c>
      <x:c r="I22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1">
      <x:c r="A2231" s="36" t="str">
        <x:v>caribbean</x:v>
      </x:c>
      <x:c r="B2231" s="30" t="str">
        <x:v>caribbean-broad-draft-1</x:v>
      </x:c>
      <x:c r="C2231" s="30" t="n">
        <x:v>36491</x:v>
      </x:c>
      <x:c r="D2231" s="32" t="str">
        <x:v>Cook's Anole</x:v>
      </x:c>
      <x:c r="E2231" s="32" t="str">
        <x:v>Anolis cooki</x:v>
      </x:c>
      <x:c r="F2231" s="30" t="str">
        <x:v>common</x:v>
      </x:c>
      <x:c r="G2231" s="30" t="str">
        <x:v>standard</x:v>
      </x:c>
      <x:c r="H2231" s="30" t="str">
        <x:v>year-round</x:v>
      </x:c>
      <x:c r="I22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2">
      <x:c r="A2232" s="36" t="str">
        <x:v>caribbean</x:v>
      </x:c>
      <x:c r="B2232" s="30" t="str">
        <x:v>caribbean-broad-draft-1</x:v>
      </x:c>
      <x:c r="C2232" s="30" t="n">
        <x:v>39298</x:v>
      </x:c>
      <x:c r="D2232" s="32" t="str">
        <x:v>Mountain Curlytail Lizard</x:v>
      </x:c>
      <x:c r="E2232" s="32" t="str">
        <x:v>Leiocephalus raviceps</x:v>
      </x:c>
      <x:c r="F2232" s="30" t="str">
        <x:v>common</x:v>
      </x:c>
      <x:c r="G2232" s="30" t="str">
        <x:v>standard</x:v>
      </x:c>
      <x:c r="H2232" s="30" t="str">
        <x:v>year-round</x:v>
      </x:c>
      <x:c r="I22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3">
      <x:c r="A2233" s="36" t="str">
        <x:v>caribbean</x:v>
      </x:c>
      <x:c r="B2233" s="30" t="str">
        <x:v>caribbean-broad-draft-1</x:v>
      </x:c>
      <x:c r="C2233" s="30" t="n">
        <x:v>33640</x:v>
      </x:c>
      <x:c r="D2233" s="32" t="str">
        <x:v>Difficult Least Gecko</x:v>
      </x:c>
      <x:c r="E2233" s="32" t="str">
        <x:v>Sphaerodactylus difficilis</x:v>
      </x:c>
      <x:c r="F2233" s="30" t="str">
        <x:v>common</x:v>
      </x:c>
      <x:c r="G2233" s="30" t="str">
        <x:v>standard</x:v>
      </x:c>
      <x:c r="H2233" s="30" t="str">
        <x:v>year-round</x:v>
      </x:c>
      <x:c r="I22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4">
      <x:c r="A2234" s="36" t="str">
        <x:v>caribbean</x:v>
      </x:c>
      <x:c r="B2234" s="30" t="str">
        <x:v>caribbean-broad-draft-1</x:v>
      </x:c>
      <x:c r="C2234" s="30" t="n">
        <x:v>33752</x:v>
      </x:c>
      <x:c r="D2234" s="32" t="str">
        <x:v>Ashy Gecko</x:v>
      </x:c>
      <x:c r="E2234" s="32" t="str">
        <x:v>Sphaerodactylus elegans</x:v>
      </x:c>
      <x:c r="F2234" s="30" t="str">
        <x:v>common</x:v>
      </x:c>
      <x:c r="G2234" s="30" t="str">
        <x:v>standard</x:v>
      </x:c>
      <x:c r="H2234" s="30" t="str">
        <x:v>year-round</x:v>
      </x:c>
      <x:c r="I22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5">
      <x:c r="A2235" s="36" t="str">
        <x:v>caribbean</x:v>
      </x:c>
      <x:c r="B2235" s="30" t="str">
        <x:v>caribbean-broad-draft-1</x:v>
      </x:c>
      <x:c r="C2235" s="30" t="n">
        <x:v>39777</x:v>
      </x:c>
      <x:c r="D2235" s="32" t="str">
        <x:v>Cat Island Slider</x:v>
      </x:c>
      <x:c r="E2235" s="32" t="str">
        <x:v>Trachemys terrapen</x:v>
      </x:c>
      <x:c r="F2235" s="30" t="str">
        <x:v>common</x:v>
      </x:c>
      <x:c r="G2235" s="30" t="str">
        <x:v>standard</x:v>
      </x:c>
      <x:c r="H2235" s="30" t="str">
        <x:v>year-round</x:v>
      </x:c>
      <x:c r="I22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6">
      <x:c r="A2236" s="36" t="str">
        <x:v>caribbean</x:v>
      </x:c>
      <x:c r="B2236" s="30" t="str">
        <x:v>caribbean-broad-draft-1</x:v>
      </x:c>
      <x:c r="C2236" s="30" t="n">
        <x:v>36567</x:v>
      </x:c>
      <x:c r="D2236" s="32" t="str">
        <x:v>Blue-eyed Grass-bush Anole</x:v>
      </x:c>
      <x:c r="E2236" s="32" t="str">
        <x:v>Anolis alutaceus</x:v>
      </x:c>
      <x:c r="F2236" s="30" t="str">
        <x:v>common</x:v>
      </x:c>
      <x:c r="G2236" s="30" t="str">
        <x:v>standard</x:v>
      </x:c>
      <x:c r="H2236" s="30" t="str">
        <x:v>year-round</x:v>
      </x:c>
      <x:c r="I22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7">
      <x:c r="A2237" s="36" t="str">
        <x:v>caribbean</x:v>
      </x:c>
      <x:c r="B2237" s="30" t="str">
        <x:v>caribbean-broad-draft-1</x:v>
      </x:c>
      <x:c r="C2237" s="30" t="n">
        <x:v>539454</x:v>
      </x:c>
      <x:c r="D2237" s="32" t="str">
        <x:v>Cuban Tree Boa</x:v>
      </x:c>
      <x:c r="E2237" s="32" t="str">
        <x:v>Chilabothrus angulifer</x:v>
      </x:c>
      <x:c r="F2237" s="30" t="str">
        <x:v>common</x:v>
      </x:c>
      <x:c r="G2237" s="30" t="str">
        <x:v>standard</x:v>
      </x:c>
      <x:c r="H2237" s="30" t="str">
        <x:v>year-round</x:v>
      </x:c>
      <x:c r="I22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8">
      <x:c r="A2238" s="36" t="str">
        <x:v>caribbean</x:v>
      </x:c>
      <x:c r="B2238" s="30" t="str">
        <x:v>caribbean-broad-draft-1</x:v>
      </x:c>
      <x:c r="C2238" s="30" t="n">
        <x:v>104129</x:v>
      </x:c>
      <x:c r="D2238" s="32" t="str">
        <x:v>Cabo Corrientes Curlytail lizard</x:v>
      </x:c>
      <x:c r="E2238" s="32" t="str">
        <x:v>Leiocephalus stictigaster</x:v>
      </x:c>
      <x:c r="F2238" s="30" t="str">
        <x:v>common</x:v>
      </x:c>
      <x:c r="G2238" s="30" t="str">
        <x:v>standard</x:v>
      </x:c>
      <x:c r="H2238" s="30" t="str">
        <x:v>year-round</x:v>
      </x:c>
      <x:c r="I22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39">
      <x:c r="A2239" s="36" t="str">
        <x:v>caribbean</x:v>
      </x:c>
      <x:c r="B2239" s="30" t="str">
        <x:v>caribbean-broad-draft-1</x:v>
      </x:c>
      <x:c r="C2239" s="30" t="n">
        <x:v>34615</x:v>
      </x:c>
      <x:c r="D2239" s="32" t="str">
        <x:v>Tokay Gecko</x:v>
      </x:c>
      <x:c r="E2239" s="32" t="str">
        <x:v>Gekko gecko</x:v>
      </x:c>
      <x:c r="F2239" s="30" t="str">
        <x:v>common</x:v>
      </x:c>
      <x:c r="G2239" s="30" t="str">
        <x:v>standard</x:v>
      </x:c>
      <x:c r="H2239" s="30" t="str">
        <x:v>year-round</x:v>
      </x:c>
      <x:c r="I22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0">
      <x:c r="A2240" s="36" t="str">
        <x:v>caribbean</x:v>
      </x:c>
      <x:c r="B2240" s="30" t="str">
        <x:v>caribbean-broad-draft-1</x:v>
      </x:c>
      <x:c r="C2240" s="30" t="n">
        <x:v>1120226</x:v>
      </x:c>
      <x:c r="D2240" s="32" t="str">
        <x:v>Big-scaled Dwarf Gecko</x:v>
      </x:c>
      <x:c r="E2240" s="32" t="str">
        <x:v>Sphaerodactylus macrolepis</x:v>
      </x:c>
      <x:c r="F2240" s="30" t="str">
        <x:v>common</x:v>
      </x:c>
      <x:c r="G2240" s="30" t="str">
        <x:v>standard</x:v>
      </x:c>
      <x:c r="H2240" s="30" t="str">
        <x:v>year-round</x:v>
      </x:c>
      <x:c r="I22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1">
      <x:c r="A2241" s="36" t="str">
        <x:v>caribbean</x:v>
      </x:c>
      <x:c r="B2241" s="30" t="str">
        <x:v>caribbean-broad-draft-1</x:v>
      </x:c>
      <x:c r="C2241" s="30" t="n">
        <x:v>539844</x:v>
      </x:c>
      <x:c r="D2241" s="32" t="str">
        <x:v>Brahminy Blindsnake</x:v>
      </x:c>
      <x:c r="E2241" s="32" t="str">
        <x:v>Indotyphlops braminus</x:v>
      </x:c>
      <x:c r="F2241" s="30" t="str">
        <x:v>uncommon</x:v>
      </x:c>
      <x:c r="G2241" s="30" t="str">
        <x:v>standard</x:v>
      </x:c>
      <x:c r="H2241" s="30" t="str">
        <x:v>year-round</x:v>
      </x:c>
      <x:c r="I22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2">
      <x:c r="A2242" s="36" t="str">
        <x:v>caribbean</x:v>
      </x:c>
      <x:c r="B2242" s="30" t="str">
        <x:v>caribbean-broad-draft-1</x:v>
      </x:c>
      <x:c r="C2242" s="30" t="n">
        <x:v>67967</x:v>
      </x:c>
      <x:c r="D2242" s="32" t="str">
        <x:v>Northern Turniptail Gecko</x:v>
      </x:c>
      <x:c r="E2242" s="32" t="str">
        <x:v>Thecadactylus rapicauda</x:v>
      </x:c>
      <x:c r="F2242" s="30" t="str">
        <x:v>uncommon</x:v>
      </x:c>
      <x:c r="G2242" s="30" t="str">
        <x:v>standard</x:v>
      </x:c>
      <x:c r="H2242" s="30" t="str">
        <x:v>year-round</x:v>
      </x:c>
      <x:c r="I22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3">
      <x:c r="A2243" s="36" t="str">
        <x:v>caribbean</x:v>
      </x:c>
      <x:c r="B2243" s="30" t="str">
        <x:v>caribbean-broad-draft-1</x:v>
      </x:c>
      <x:c r="C2243" s="30" t="n">
        <x:v>39373</x:v>
      </x:c>
      <x:c r="D2243" s="32" t="str">
        <x:v>Santo Domingo Curlytail Lizard</x:v>
      </x:c>
      <x:c r="E2243" s="32" t="str">
        <x:v>Leiocephalus lunatus</x:v>
      </x:c>
      <x:c r="F2243" s="30" t="str">
        <x:v>uncommon</x:v>
      </x:c>
      <x:c r="G2243" s="30" t="str">
        <x:v>standard</x:v>
      </x:c>
      <x:c r="H2243" s="30" t="str">
        <x:v>year-round</x:v>
      </x:c>
      <x:c r="I22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4">
      <x:c r="A2244" s="36" t="str">
        <x:v>caribbean</x:v>
      </x:c>
      <x:c r="B2244" s="30" t="str">
        <x:v>caribbean-broad-draft-1</x:v>
      </x:c>
      <x:c r="C2244" s="30" t="n">
        <x:v>539331</x:v>
      </x:c>
      <x:c r="D2244" s="32" t="str">
        <x:v>Northern Hispaniolan Green Anole</x:v>
      </x:c>
      <x:c r="E2244" s="32" t="str">
        <x:v>Anolis peynadoi</x:v>
      </x:c>
      <x:c r="F2244" s="30" t="str">
        <x:v>uncommon</x:v>
      </x:c>
      <x:c r="G2244" s="30" t="str">
        <x:v>standard</x:v>
      </x:c>
      <x:c r="H2244" s="30" t="str">
        <x:v>year-round</x:v>
      </x:c>
      <x:c r="I22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5">
      <x:c r="A2245" s="36" t="str">
        <x:v>caribbean</x:v>
      </x:c>
      <x:c r="B2245" s="30" t="str">
        <x:v>caribbean-broad-draft-1</x:v>
      </x:c>
      <x:c r="C2245" s="30" t="n">
        <x:v>540077</x:v>
      </x:c>
      <x:c r="D2245" s="32" t="str">
        <x:v>Anguilla Bank Ameiva</x:v>
      </x:c>
      <x:c r="E2245" s="32" t="str">
        <x:v>Pholidoscelis plei</x:v>
      </x:c>
      <x:c r="F2245" s="30" t="str">
        <x:v>uncommon</x:v>
      </x:c>
      <x:c r="G2245" s="30" t="str">
        <x:v>standard</x:v>
      </x:c>
      <x:c r="H2245" s="30" t="str">
        <x:v>year-round</x:v>
      </x:c>
      <x:c r="I22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6">
      <x:c r="A2246" s="36" t="str">
        <x:v>caribbean</x:v>
      </x:c>
      <x:c r="B2246" s="30" t="str">
        <x:v>caribbean-broad-draft-1</x:v>
      </x:c>
      <x:c r="C2246" s="30" t="n">
        <x:v>33740</x:v>
      </x:c>
      <x:c r="D2246" s="32" t="str">
        <x:v>Fantastic Least Gecko</x:v>
      </x:c>
      <x:c r="E2246" s="32" t="str">
        <x:v>Sphaerodactylus fantasticus</x:v>
      </x:c>
      <x:c r="F2246" s="30" t="str">
        <x:v>uncommon</x:v>
      </x:c>
      <x:c r="G2246" s="30" t="str">
        <x:v>standard</x:v>
      </x:c>
      <x:c r="H2246" s="30" t="str">
        <x:v>year-round</x:v>
      </x:c>
      <x:c r="I22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7">
      <x:c r="A2247" s="36" t="str">
        <x:v>caribbean</x:v>
      </x:c>
      <x:c r="B2247" s="30" t="str">
        <x:v>caribbean-broad-draft-1</x:v>
      </x:c>
      <x:c r="C2247" s="30" t="n">
        <x:v>145902</x:v>
      </x:c>
      <x:c r="D2247" s="32" t="str">
        <x:v>Oriente Pallid Anole</x:v>
      </x:c>
      <x:c r="E2247" s="32" t="str">
        <x:v>Anolis litoralis</x:v>
      </x:c>
      <x:c r="F2247" s="30" t="str">
        <x:v>uncommon</x:v>
      </x:c>
      <x:c r="G2247" s="30" t="str">
        <x:v>standard</x:v>
      </x:c>
      <x:c r="H2247" s="30" t="str">
        <x:v>year-round</x:v>
      </x:c>
      <x:c r="I22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8">
      <x:c r="A2248" s="36" t="str">
        <x:v>caribbean</x:v>
      </x:c>
      <x:c r="B2248" s="30" t="str">
        <x:v>caribbean-broad-draft-1</x:v>
      </x:c>
      <x:c r="C2248" s="30" t="n">
        <x:v>35303</x:v>
      </x:c>
      <x:c r="D2248" s="32" t="str">
        <x:v>Black Spiny-tailed Iguana</x:v>
      </x:c>
      <x:c r="E2248" s="32" t="str">
        <x:v>Ctenosaura similis</x:v>
      </x:c>
      <x:c r="F2248" s="30" t="str">
        <x:v>uncommon</x:v>
      </x:c>
      <x:c r="G2248" s="30" t="str">
        <x:v>standard</x:v>
      </x:c>
      <x:c r="H2248" s="30" t="str">
        <x:v>year-round</x:v>
      </x:c>
      <x:c r="I22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49">
      <x:c r="A2249" s="36" t="str">
        <x:v>caribbean</x:v>
      </x:c>
      <x:c r="B2249" s="30" t="str">
        <x:v>caribbean-broad-draft-1</x:v>
      </x:c>
      <x:c r="C2249" s="30" t="n">
        <x:v>33788</x:v>
      </x:c>
      <x:c r="D2249" s="32" t="str">
        <x:v>Ocellated Gecko</x:v>
      </x:c>
      <x:c r="E2249" s="32" t="str">
        <x:v>Sphaerodactylus argus</x:v>
      </x:c>
      <x:c r="F2249" s="30" t="str">
        <x:v>uncommon</x:v>
      </x:c>
      <x:c r="G2249" s="30" t="str">
        <x:v>standard</x:v>
      </x:c>
      <x:c r="H2249" s="30" t="str">
        <x:v>year-round</x:v>
      </x:c>
      <x:c r="I22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0">
      <x:c r="A2250" s="36" t="str">
        <x:v>caribbean</x:v>
      </x:c>
      <x:c r="B2250" s="30" t="str">
        <x:v>caribbean-broad-draft-1</x:v>
      </x:c>
      <x:c r="C2250" s="30" t="n">
        <x:v>28157</x:v>
      </x:c>
      <x:c r="D2250" s="32" t="str">
        <x:v>Pointed Snake</x:v>
      </x:c>
      <x:c r="E2250" s="32" t="str">
        <x:v>Uromacer oxyrhynchus</x:v>
      </x:c>
      <x:c r="F2250" s="30" t="str">
        <x:v>uncommon</x:v>
      </x:c>
      <x:c r="G2250" s="30" t="str">
        <x:v>standard</x:v>
      </x:c>
      <x:c r="H2250" s="30" t="str">
        <x:v>year-round</x:v>
      </x:c>
      <x:c r="I22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1">
      <x:c r="A2251" s="36" t="str">
        <x:v>caribbean</x:v>
      </x:c>
      <x:c r="B2251" s="30" t="str">
        <x:v>caribbean-broad-draft-1</x:v>
      </x:c>
      <x:c r="C2251" s="30" t="n">
        <x:v>33563</x:v>
      </x:c>
      <x:c r="D2251" s="32" t="str">
        <x:v>Hispaniolan Giant Gecko</x:v>
      </x:c>
      <x:c r="E2251" s="32" t="str">
        <x:v>Aristelliger lar</x:v>
      </x:c>
      <x:c r="F2251" s="30" t="str">
        <x:v>uncommon</x:v>
      </x:c>
      <x:c r="G2251" s="30" t="str">
        <x:v>standard</x:v>
      </x:c>
      <x:c r="H2251" s="30" t="str">
        <x:v>year-round</x:v>
      </x:c>
      <x:c r="I22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2">
      <x:c r="A2252" s="36" t="str">
        <x:v>caribbean</x:v>
      </x:c>
      <x:c r="B2252" s="30" t="str">
        <x:v>caribbean-broad-draft-1</x:v>
      </x:c>
      <x:c r="C2252" s="30" t="n">
        <x:v>39677</x:v>
      </x:c>
      <x:c r="D2252" s="32" t="str">
        <x:v>Leatherback Sea Turtle</x:v>
      </x:c>
      <x:c r="E2252" s="32" t="str">
        <x:v>Dermochelys coriacea</x:v>
      </x:c>
      <x:c r="F2252" s="30" t="str">
        <x:v>uncommon</x:v>
      </x:c>
      <x:c r="G2252" s="30" t="str">
        <x:v>standard</x:v>
      </x:c>
      <x:c r="H2252" s="30" t="str">
        <x:v>year-round</x:v>
      </x:c>
      <x:c r="I22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3">
      <x:c r="A2253" s="36" t="str">
        <x:v>caribbean</x:v>
      </x:c>
      <x:c r="B2253" s="30" t="str">
        <x:v>caribbean-broad-draft-1</x:v>
      </x:c>
      <x:c r="C2253" s="30" t="n">
        <x:v>28598</x:v>
      </x:c>
      <x:c r="D2253" s="32" t="str">
        <x:v>Cuban Lesser Racer</x:v>
      </x:c>
      <x:c r="E2253" s="32" t="str">
        <x:v>Caraiba andreae</x:v>
      </x:c>
      <x:c r="F2253" s="30" t="str">
        <x:v>uncommon</x:v>
      </x:c>
      <x:c r="G2253" s="30" t="str">
        <x:v>standard</x:v>
      </x:c>
      <x:c r="H2253" s="30" t="str">
        <x:v>year-round</x:v>
      </x:c>
      <x:c r="I22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4">
      <x:c r="A2254" s="36" t="str">
        <x:v>caribbean</x:v>
      </x:c>
      <x:c r="B2254" s="30" t="str">
        <x:v>caribbean-broad-draft-1</x:v>
      </x:c>
      <x:c r="C2254" s="30" t="n">
        <x:v>116517</x:v>
      </x:c>
      <x:c r="D2254" s="32" t="str">
        <x:v>Spectacled Caiman</x:v>
      </x:c>
      <x:c r="E2254" s="32" t="str">
        <x:v>Caiman crocodilus</x:v>
      </x:c>
      <x:c r="F2254" s="30" t="str">
        <x:v>uncommon</x:v>
      </x:c>
      <x:c r="G2254" s="30" t="str">
        <x:v>standard</x:v>
      </x:c>
      <x:c r="H2254" s="30" t="str">
        <x:v>year-round</x:v>
      </x:c>
      <x:c r="I22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5">
      <x:c r="A2255" s="36" t="str">
        <x:v>caribbean</x:v>
      </x:c>
      <x:c r="B2255" s="30" t="str">
        <x:v>caribbean-broad-draft-1</x:v>
      </x:c>
      <x:c r="C2255" s="30" t="n">
        <x:v>32319</x:v>
      </x:c>
      <x:c r="D2255" s="32" t="str">
        <x:v>Haitian Dwarf Boa</x:v>
      </x:c>
      <x:c r="E2255" s="32" t="str">
        <x:v>Tropidophis haetianus</x:v>
      </x:c>
      <x:c r="F2255" s="30" t="str">
        <x:v>uncommon</x:v>
      </x:c>
      <x:c r="G2255" s="30" t="str">
        <x:v>standard</x:v>
      </x:c>
      <x:c r="H2255" s="30" t="str">
        <x:v>year-round</x:v>
      </x:c>
      <x:c r="I22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6">
      <x:c r="A2256" s="36" t="str">
        <x:v>caribbean</x:v>
      </x:c>
      <x:c r="B2256" s="30" t="str">
        <x:v>caribbean-broad-draft-1</x:v>
      </x:c>
      <x:c r="C2256" s="30" t="n">
        <x:v>36520</x:v>
      </x:c>
      <x:c r="D2256" s="32" t="str">
        <x:v>Desert Gracile Anole</x:v>
      </x:c>
      <x:c r="E2256" s="32" t="str">
        <x:v>Anolis brevirostris</x:v>
      </x:c>
      <x:c r="F2256" s="30" t="str">
        <x:v>uncommon</x:v>
      </x:c>
      <x:c r="G2256" s="30" t="str">
        <x:v>standard</x:v>
      </x:c>
      <x:c r="H2256" s="30" t="str">
        <x:v>year-round</x:v>
      </x:c>
      <x:c r="I22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7">
      <x:c r="A2257" s="36" t="str">
        <x:v>caribbean</x:v>
      </x:c>
      <x:c r="B2257" s="30" t="str">
        <x:v>caribbean-broad-draft-1</x:v>
      </x:c>
      <x:c r="C2257" s="30" t="n">
        <x:v>1659760</x:v>
      </x:c>
      <x:c r="D2257" s="32" t="str">
        <x:v>Hispaniolan Keeled Forest Lizard</x:v>
      </x:c>
      <x:c r="E2257" s="32" t="str">
        <x:v>Comptus weinlandi</x:v>
      </x:c>
      <x:c r="F2257" s="30" t="str">
        <x:v>uncommon</x:v>
      </x:c>
      <x:c r="G2257" s="30" t="str">
        <x:v>standard</x:v>
      </x:c>
      <x:c r="H2257" s="30" t="str">
        <x:v>year-round</x:v>
      </x:c>
      <x:c r="I22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8">
      <x:c r="A2258" s="36" t="str">
        <x:v>caribbean</x:v>
      </x:c>
      <x:c r="B2258" s="30" t="str">
        <x:v>caribbean-broad-draft-1</x:v>
      </x:c>
      <x:c r="C2258" s="30" t="n">
        <x:v>33623</x:v>
      </x:c>
      <x:c r="D2258" s="32" t="str">
        <x:v>American Wall Gecko</x:v>
      </x:c>
      <x:c r="E2258" s="32" t="str">
        <x:v>Tarentola americana</x:v>
      </x:c>
      <x:c r="F2258" s="30" t="str">
        <x:v>uncommon</x:v>
      </x:c>
      <x:c r="G2258" s="30" t="str">
        <x:v>standard</x:v>
      </x:c>
      <x:c r="H2258" s="30" t="str">
        <x:v>year-round</x:v>
      </x:c>
      <x:c r="I22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59">
      <x:c r="A2259" s="36" t="str">
        <x:v>caribbean</x:v>
      </x:c>
      <x:c r="B2259" s="30" t="str">
        <x:v>caribbean-broad-draft-1</x:v>
      </x:c>
      <x:c r="C2259" s="30" t="n">
        <x:v>39336</x:v>
      </x:c>
      <x:c r="D2259" s="32" t="str">
        <x:v>Barahona Curlytail Lizard</x:v>
      </x:c>
      <x:c r="E2259" s="32" t="str">
        <x:v>Leiocephalus barahonensis</x:v>
      </x:c>
      <x:c r="F2259" s="30" t="str">
        <x:v>uncommon</x:v>
      </x:c>
      <x:c r="G2259" s="30" t="str">
        <x:v>standard</x:v>
      </x:c>
      <x:c r="H2259" s="30" t="str">
        <x:v>year-round</x:v>
      </x:c>
      <x:c r="I22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0">
      <x:c r="A2260" s="36" t="str">
        <x:v>caribbean</x:v>
      </x:c>
      <x:c r="B2260" s="30" t="str">
        <x:v>caribbean-broad-draft-1</x:v>
      </x:c>
      <x:c r="C2260" s="30" t="n">
        <x:v>116426</x:v>
      </x:c>
      <x:c r="D2260" s="32" t="str">
        <x:v>Cubitas Anole</x:v>
      </x:c>
      <x:c r="E2260" s="32" t="str">
        <x:v>Anolis jubar</x:v>
      </x:c>
      <x:c r="F2260" s="30" t="str">
        <x:v>uncommon</x:v>
      </x:c>
      <x:c r="G2260" s="30" t="str">
        <x:v>standard</x:v>
      </x:c>
      <x:c r="H2260" s="30" t="str">
        <x:v>year-round</x:v>
      </x:c>
      <x:c r="I22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1">
      <x:c r="A2261" s="36" t="str">
        <x:v>caribbean</x:v>
      </x:c>
      <x:c r="B2261" s="30" t="str">
        <x:v>caribbean-broad-draft-1</x:v>
      </x:c>
      <x:c r="C2261" s="30" t="n">
        <x:v>34964</x:v>
      </x:c>
      <x:c r="D2261" s="32" t="str">
        <x:v>Underwood's Spectacled Tegu</x:v>
      </x:c>
      <x:c r="E2261" s="32" t="str">
        <x:v>Gymnophthalmus underwoodi</x:v>
      </x:c>
      <x:c r="F2261" s="30" t="str">
        <x:v>uncommon</x:v>
      </x:c>
      <x:c r="G2261" s="30" t="str">
        <x:v>standard</x:v>
      </x:c>
      <x:c r="H2261" s="30" t="str">
        <x:v>year-round</x:v>
      </x:c>
      <x:c r="I22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2">
      <x:c r="A2262" s="36" t="str">
        <x:v>caribbean</x:v>
      </x:c>
      <x:c r="B2262" s="30" t="str">
        <x:v>caribbean-broad-draft-1</x:v>
      </x:c>
      <x:c r="C2262" s="30" t="n">
        <x:v>33708</x:v>
      </x:c>
      <x:c r="D2262" s="32" t="str">
        <x:v>Puerto Rican Crescent Sphaero</x:v>
      </x:c>
      <x:c r="E2262" s="32" t="str">
        <x:v>Sphaerodactylus nicholsi</x:v>
      </x:c>
      <x:c r="F2262" s="30" t="str">
        <x:v>uncommon</x:v>
      </x:c>
      <x:c r="G2262" s="30" t="str">
        <x:v>standard</x:v>
      </x:c>
      <x:c r="H2262" s="30" t="str">
        <x:v>year-round</x:v>
      </x:c>
      <x:c r="I22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3">
      <x:c r="A2263" s="36" t="str">
        <x:v>caribbean</x:v>
      </x:c>
      <x:c r="B2263" s="30" t="str">
        <x:v>caribbean-broad-draft-1</x:v>
      </x:c>
      <x:c r="C2263" s="30" t="n">
        <x:v>116475</x:v>
      </x:c>
      <x:c r="D2263" s="32" t="str">
        <x:v>Jamaican Twig Anole</x:v>
      </x:c>
      <x:c r="E2263" s="32" t="str">
        <x:v>Anolis valencienni</x:v>
      </x:c>
      <x:c r="F2263" s="30" t="str">
        <x:v>uncommon</x:v>
      </x:c>
      <x:c r="G2263" s="30" t="str">
        <x:v>standard</x:v>
      </x:c>
      <x:c r="H2263" s="30" t="str">
        <x:v>year-round</x:v>
      </x:c>
      <x:c r="I22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4">
      <x:c r="A2264" s="36" t="str">
        <x:v>caribbean</x:v>
      </x:c>
      <x:c r="B2264" s="30" t="str">
        <x:v>caribbean-broad-draft-1</x:v>
      </x:c>
      <x:c r="C2264" s="30" t="n">
        <x:v>540082</x:v>
      </x:c>
      <x:c r="D2264" s="32" t="str">
        <x:v>Blue-tailed Ground Lizard</x:v>
      </x:c>
      <x:c r="E2264" s="32" t="str">
        <x:v>Pholidoscelis wetmorei</x:v>
      </x:c>
      <x:c r="F2264" s="30" t="str">
        <x:v>uncommon</x:v>
      </x:c>
      <x:c r="G2264" s="30" t="str">
        <x:v>standard</x:v>
      </x:c>
      <x:c r="H2264" s="30" t="str">
        <x:v>year-round</x:v>
      </x:c>
      <x:c r="I22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5">
      <x:c r="A2265" s="36" t="str">
        <x:v>caribbean</x:v>
      </x:c>
      <x:c r="B2265" s="30" t="str">
        <x:v>caribbean-broad-draft-1</x:v>
      </x:c>
      <x:c r="C2265" s="30" t="n">
        <x:v>33730</x:v>
      </x:c>
      <x:c r="D2265" s="32" t="str">
        <x:v>Puerto Rican Upland Sphaero</x:v>
      </x:c>
      <x:c r="E2265" s="32" t="str">
        <x:v>Sphaerodactylus klauberi</x:v>
      </x:c>
      <x:c r="F2265" s="30" t="str">
        <x:v>uncommon</x:v>
      </x:c>
      <x:c r="G2265" s="30" t="str">
        <x:v>standard</x:v>
      </x:c>
      <x:c r="H2265" s="30" t="str">
        <x:v>year-round</x:v>
      </x:c>
      <x:c r="I22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6">
      <x:c r="A2266" s="36" t="str">
        <x:v>caribbean</x:v>
      </x:c>
      <x:c r="B2266" s="30" t="str">
        <x:v>caribbean-broad-draft-1</x:v>
      </x:c>
      <x:c r="C2266" s="30" t="n">
        <x:v>146451</x:v>
      </x:c>
      <x:c r="D2266" s="32" t="str">
        <x:v>Puerto Rican Skink</x:v>
      </x:c>
      <x:c r="E2266" s="32" t="str">
        <x:v>Spondylurus nitidus</x:v>
      </x:c>
      <x:c r="F2266" s="30" t="str">
        <x:v>uncommon</x:v>
      </x:c>
      <x:c r="G2266" s="30" t="str">
        <x:v>standard</x:v>
      </x:c>
      <x:c r="H2266" s="30" t="str">
        <x:v>year-round</x:v>
      </x:c>
      <x:c r="I22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7">
      <x:c r="A2267" s="36" t="str">
        <x:v>caribbean</x:v>
      </x:c>
      <x:c r="B2267" s="30" t="str">
        <x:v>caribbean-broad-draft-1</x:v>
      </x:c>
      <x:c r="C2267" s="30" t="n">
        <x:v>36532</x:v>
      </x:c>
      <x:c r="D2267" s="32" t="str">
        <x:v>West Cuban Anole</x:v>
      </x:c>
      <x:c r="E2267" s="32" t="str">
        <x:v>Anolis bartschi</x:v>
      </x:c>
      <x:c r="F2267" s="30" t="str">
        <x:v>uncommon</x:v>
      </x:c>
      <x:c r="G2267" s="30" t="str">
        <x:v>standard</x:v>
      </x:c>
      <x:c r="H2267" s="30" t="str">
        <x:v>year-round</x:v>
      </x:c>
      <x:c r="I22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8">
      <x:c r="A2268" s="36" t="str">
        <x:v>caribbean</x:v>
      </x:c>
      <x:c r="B2268" s="30" t="str">
        <x:v>caribbean-broad-draft-1</x:v>
      </x:c>
      <x:c r="C2268" s="30" t="n">
        <x:v>36448</x:v>
      </x:c>
      <x:c r="D2268" s="32" t="str">
        <x:v>Etheridge's Anole</x:v>
      </x:c>
      <x:c r="E2268" s="32" t="str">
        <x:v>Anolis etheridgei</x:v>
      </x:c>
      <x:c r="F2268" s="30" t="str">
        <x:v>uncommon</x:v>
      </x:c>
      <x:c r="G2268" s="30" t="str">
        <x:v>standard</x:v>
      </x:c>
      <x:c r="H2268" s="30" t="str">
        <x:v>year-round</x:v>
      </x:c>
      <x:c r="I22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69">
      <x:c r="A2269" s="36" t="str">
        <x:v>caribbean</x:v>
      </x:c>
      <x:c r="B2269" s="30" t="str">
        <x:v>caribbean-broad-draft-1</x:v>
      </x:c>
      <x:c r="C2269" s="30" t="n">
        <x:v>36503</x:v>
      </x:c>
      <x:c r="D2269" s="32" t="str">
        <x:v>big-fanned trunk anole</x:v>
      </x:c>
      <x:c r="E2269" s="32" t="str">
        <x:v>Anolis christophei</x:v>
      </x:c>
      <x:c r="F2269" s="30" t="str">
        <x:v>uncommon</x:v>
      </x:c>
      <x:c r="G2269" s="30" t="str">
        <x:v>standard</x:v>
      </x:c>
      <x:c r="H2269" s="30" t="str">
        <x:v>year-round</x:v>
      </x:c>
      <x:c r="I22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0">
      <x:c r="A2270" s="36" t="str">
        <x:v>caribbean</x:v>
      </x:c>
      <x:c r="B2270" s="30" t="str">
        <x:v>caribbean-broad-draft-1</x:v>
      </x:c>
      <x:c r="C2270" s="30" t="n">
        <x:v>36654</x:v>
      </x:c>
      <x:c r="D2270" s="32" t="str">
        <x:v>Ponce Anole</x:v>
      </x:c>
      <x:c r="E2270" s="32" t="str">
        <x:v>Anolis poncensis</x:v>
      </x:c>
      <x:c r="F2270" s="30" t="str">
        <x:v>uncommon</x:v>
      </x:c>
      <x:c r="G2270" s="30" t="str">
        <x:v>standard</x:v>
      </x:c>
      <x:c r="H2270" s="30" t="str">
        <x:v>year-round</x:v>
      </x:c>
      <x:c r="I22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1">
      <x:c r="A2271" s="36" t="str">
        <x:v>caribbean</x:v>
      </x:c>
      <x:c r="B2271" s="30" t="str">
        <x:v>caribbean-broad-draft-1</x:v>
      </x:c>
      <x:c r="C2271" s="30" t="n">
        <x:v>568929</x:v>
      </x:c>
      <x:c r="D2271" s="32" t="str">
        <x:v>Pygmy Blue-tailed Ameiva</x:v>
      </x:c>
      <x:c r="E2271" s="32" t="str">
        <x:v>Pholidoscelis lineolatus</x:v>
      </x:c>
      <x:c r="F2271" s="30" t="str">
        <x:v>uncommon</x:v>
      </x:c>
      <x:c r="G2271" s="30" t="str">
        <x:v>standard</x:v>
      </x:c>
      <x:c r="H2271" s="30" t="str">
        <x:v>year-round</x:v>
      </x:c>
      <x:c r="I22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2">
      <x:c r="A2272" s="36" t="str">
        <x:v>caribbean</x:v>
      </x:c>
      <x:c r="B2272" s="30" t="str">
        <x:v>caribbean-broad-draft-1</x:v>
      </x:c>
      <x:c r="C2272" s="30" t="n">
        <x:v>116440</x:v>
      </x:c>
      <x:c r="D2272" s="32" t="str">
        <x:v>Pinar del Rio Anole</x:v>
      </x:c>
      <x:c r="E2272" s="32" t="str">
        <x:v>Anolis mestrei</x:v>
      </x:c>
      <x:c r="F2272" s="30" t="str">
        <x:v>uncommon</x:v>
      </x:c>
      <x:c r="G2272" s="30" t="str">
        <x:v>standard</x:v>
      </x:c>
      <x:c r="H2272" s="30" t="str">
        <x:v>year-round</x:v>
      </x:c>
      <x:c r="I22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3">
      <x:c r="A2273" s="36" t="str">
        <x:v>caribbean</x:v>
      </x:c>
      <x:c r="B2273" s="30" t="str">
        <x:v>caribbean-broad-draft-1</x:v>
      </x:c>
      <x:c r="C2273" s="30" t="n">
        <x:v>64004</x:v>
      </x:c>
      <x:c r="D2273" s="32" t="str">
        <x:v>Ground Snake</x:v>
      </x:c>
      <x:c r="E2273" s="32" t="str">
        <x:v>Magliophis exiguus</x:v>
      </x:c>
      <x:c r="F2273" s="30" t="str">
        <x:v>uncommon</x:v>
      </x:c>
      <x:c r="G2273" s="30" t="str">
        <x:v>standard</x:v>
      </x:c>
      <x:c r="H2273" s="30" t="str">
        <x:v>year-round</x:v>
      </x:c>
      <x:c r="I22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4">
      <x:c r="A2274" s="36" t="str">
        <x:v>caribbean</x:v>
      </x:c>
      <x:c r="B2274" s="30" t="str">
        <x:v>caribbean-broad-draft-1</x:v>
      </x:c>
      <x:c r="C2274" s="30" t="n">
        <x:v>34496</x:v>
      </x:c>
      <x:c r="D2274" s="32" t="str">
        <x:v>West African House Gecko</x:v>
      </x:c>
      <x:c r="E2274" s="32" t="str">
        <x:v>Hemidactylus angulatus</x:v>
      </x:c>
      <x:c r="F2274" s="30" t="str">
        <x:v>rare</x:v>
      </x:c>
      <x:c r="G2274" s="30" t="str">
        <x:v>standard</x:v>
      </x:c>
      <x:c r="H2274" s="30" t="str">
        <x:v>year-round</x:v>
      </x:c>
      <x:c r="I22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5">
      <x:c r="A2275" s="36" t="str">
        <x:v>caribbean</x:v>
      </x:c>
      <x:c r="B2275" s="30" t="str">
        <x:v>caribbean-broad-draft-1</x:v>
      </x:c>
      <x:c r="C2275" s="30" t="n">
        <x:v>26061</x:v>
      </x:c>
      <x:c r="D2275" s="32" t="str">
        <x:v>Cuban Crocodile</x:v>
      </x:c>
      <x:c r="E2275" s="32" t="str">
        <x:v>Crocodylus rhombifer</x:v>
      </x:c>
      <x:c r="F2275" s="30" t="str">
        <x:v>rare</x:v>
      </x:c>
      <x:c r="G2275" s="30" t="str">
        <x:v>legendary</x:v>
      </x:c>
      <x:c r="H2275" s="30" t="str">
        <x:v>year-round</x:v>
      </x:c>
      <x:c r="I2275" s="37" t="str">
        <x:v>Owner-managed caribbean icon checklist; imported from caribbean_checklists.csv. Encounter rarity and prestige are curated game metadata. Automated rarity: inaturalist-regional-frequency-v1.</x:v>
      </x:c>
    </x:row>
    <x:row r="2276">
      <x:c r="A2276" s="36" t="str">
        <x:v>caribbean</x:v>
      </x:c>
      <x:c r="B2276" s="30" t="str">
        <x:v>caribbean-broad-draft-1</x:v>
      </x:c>
      <x:c r="C2276" s="30" t="n">
        <x:v>94152</x:v>
      </x:c>
      <x:c r="D2276" s="32" t="str">
        <x:v>Hispaniolan Green Anole</x:v>
      </x:c>
      <x:c r="E2276" s="32" t="str">
        <x:v>Anolis chlorocyanus</x:v>
      </x:c>
      <x:c r="F2276" s="30" t="str">
        <x:v>rare</x:v>
      </x:c>
      <x:c r="G2276" s="30" t="str">
        <x:v>standard</x:v>
      </x:c>
      <x:c r="H2276" s="30" t="str">
        <x:v>year-round</x:v>
      </x:c>
      <x:c r="I22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7">
      <x:c r="A2277" s="36" t="str">
        <x:v>caribbean</x:v>
      </x:c>
      <x:c r="B2277" s="30" t="str">
        <x:v>caribbean-broad-draft-1</x:v>
      </x:c>
      <x:c r="C2277" s="30" t="n">
        <x:v>36710</x:v>
      </x:c>
      <x:c r="D2277" s="32" t="str">
        <x:v>Western giant anole</x:v>
      </x:c>
      <x:c r="E2277" s="32" t="str">
        <x:v>Anolis luteogularis</x:v>
      </x:c>
      <x:c r="F2277" s="30" t="str">
        <x:v>rare</x:v>
      </x:c>
      <x:c r="G2277" s="30" t="str">
        <x:v>standard</x:v>
      </x:c>
      <x:c r="H2277" s="30" t="str">
        <x:v>year-round</x:v>
      </x:c>
      <x:c r="I22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8">
      <x:c r="A2278" s="36" t="str">
        <x:v>caribbean</x:v>
      </x:c>
      <x:c r="B2278" s="30" t="str">
        <x:v>caribbean-broad-draft-1</x:v>
      </x:c>
      <x:c r="C2278" s="30" t="n">
        <x:v>36616</x:v>
      </x:c>
      <x:c r="D2278" s="32" t="str">
        <x:v>Smallwood's Anole</x:v>
      </x:c>
      <x:c r="E2278" s="32" t="str">
        <x:v>Anolis smallwoodi</x:v>
      </x:c>
      <x:c r="F2278" s="30" t="str">
        <x:v>rare</x:v>
      </x:c>
      <x:c r="G2278" s="30" t="str">
        <x:v>standard</x:v>
      </x:c>
      <x:c r="H2278" s="30" t="str">
        <x:v>year-round</x:v>
      </x:c>
      <x:c r="I22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79">
      <x:c r="A2279" s="36" t="str">
        <x:v>caribbean</x:v>
      </x:c>
      <x:c r="B2279" s="30" t="str">
        <x:v>caribbean-broad-draft-1</x:v>
      </x:c>
      <x:c r="C2279" s="30" t="n">
        <x:v>39320</x:v>
      </x:c>
      <x:c r="D2279" s="32" t="str">
        <x:v>Pale-bellied Hispaniolan Curlytail</x:v>
      </x:c>
      <x:c r="E2279" s="32" t="str">
        <x:v>Leiocephalus semilineatus</x:v>
      </x:c>
      <x:c r="F2279" s="30" t="str">
        <x:v>rare</x:v>
      </x:c>
      <x:c r="G2279" s="30" t="str">
        <x:v>standard</x:v>
      </x:c>
      <x:c r="H2279" s="30" t="str">
        <x:v>year-round</x:v>
      </x:c>
      <x:c r="I22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0">
      <x:c r="A2280" s="36" t="str">
        <x:v>caribbean</x:v>
      </x:c>
      <x:c r="B2280" s="30" t="str">
        <x:v>caribbean-broad-draft-1</x:v>
      </x:c>
      <x:c r="C2280" s="30" t="n">
        <x:v>540069</x:v>
      </x:c>
      <x:c r="D2280" s="32" t="str">
        <x:v>Jamaica Ameiva</x:v>
      </x:c>
      <x:c r="E2280" s="32" t="str">
        <x:v>Pholidoscelis dorsalis</x:v>
      </x:c>
      <x:c r="F2280" s="30" t="str">
        <x:v>rare</x:v>
      </x:c>
      <x:c r="G2280" s="30" t="str">
        <x:v>standard</x:v>
      </x:c>
      <x:c r="H2280" s="30" t="str">
        <x:v>year-round</x:v>
      </x:c>
      <x:c r="I22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1">
      <x:c r="A2281" s="36" t="str">
        <x:v>caribbean</x:v>
      </x:c>
      <x:c r="B2281" s="30" t="str">
        <x:v>caribbean-broad-draft-1</x:v>
      </x:c>
      <x:c r="C2281" s="30" t="n">
        <x:v>36561</x:v>
      </x:c>
      <x:c r="D2281" s="32" t="str">
        <x:v>Cuban Twig Anole</x:v>
      </x:c>
      <x:c r="E2281" s="32" t="str">
        <x:v>Anolis angusticeps</x:v>
      </x:c>
      <x:c r="F2281" s="30" t="str">
        <x:v>rare</x:v>
      </x:c>
      <x:c r="G2281" s="30" t="str">
        <x:v>standard</x:v>
      </x:c>
      <x:c r="H2281" s="30" t="str">
        <x:v>year-round</x:v>
      </x:c>
      <x:c r="I22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2">
      <x:c r="A2282" s="36" t="str">
        <x:v>caribbean</x:v>
      </x:c>
      <x:c r="B2282" s="30" t="str">
        <x:v>caribbean-broad-draft-1</x:v>
      </x:c>
      <x:c r="C2282" s="30" t="n">
        <x:v>1673680</x:v>
      </x:c>
      <x:c r="D2282" s="32" t="str">
        <x:v>Martinique Geckolet</x:v>
      </x:c>
      <x:c r="E2282" s="32" t="str">
        <x:v>Sphaerodactylus festus</x:v>
      </x:c>
      <x:c r="F2282" s="30" t="str">
        <x:v>rare</x:v>
      </x:c>
      <x:c r="G2282" s="30" t="str">
        <x:v>standard</x:v>
      </x:c>
      <x:c r="H2282" s="30" t="str">
        <x:v>year-round</x:v>
      </x:c>
      <x:c r="I22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3">
      <x:c r="A2283" s="36" t="str">
        <x:v>caribbean</x:v>
      </x:c>
      <x:c r="B2283" s="30" t="str">
        <x:v>caribbean-broad-draft-1</x:v>
      </x:c>
      <x:c r="C2283" s="30" t="n">
        <x:v>94180</x:v>
      </x:c>
      <x:c r="D2283" s="32" t="str">
        <x:v>Sagua de Tanamo Anole</x:v>
      </x:c>
      <x:c r="E2283" s="32" t="str">
        <x:v>Anolis rubribarbus</x:v>
      </x:c>
      <x:c r="F2283" s="30" t="str">
        <x:v>rare</x:v>
      </x:c>
      <x:c r="G2283" s="30" t="str">
        <x:v>standard</x:v>
      </x:c>
      <x:c r="H2283" s="30" t="str">
        <x:v>year-round</x:v>
      </x:c>
      <x:c r="I22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4">
      <x:c r="A2284" s="36" t="str">
        <x:v>caribbean</x:v>
      </x:c>
      <x:c r="B2284" s="30" t="str">
        <x:v>caribbean-broad-draft-1</x:v>
      </x:c>
      <x:c r="C2284" s="30" t="n">
        <x:v>36607</x:v>
      </x:c>
      <x:c r="D2284" s="32" t="str">
        <x:v>Strahm's Anole</x:v>
      </x:c>
      <x:c r="E2284" s="32" t="str">
        <x:v>Anolis strahmi</x:v>
      </x:c>
      <x:c r="F2284" s="30" t="str">
        <x:v>rare</x:v>
      </x:c>
      <x:c r="G2284" s="30" t="str">
        <x:v>standard</x:v>
      </x:c>
      <x:c r="H2284" s="30" t="str">
        <x:v>year-round</x:v>
      </x:c>
      <x:c r="I22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5">
      <x:c r="A2285" s="36" t="str">
        <x:v>caribbean</x:v>
      </x:c>
      <x:c r="B2285" s="30" t="str">
        <x:v>caribbean-broad-draft-1</x:v>
      </x:c>
      <x:c r="C2285" s="30" t="n">
        <x:v>33768</x:v>
      </x:c>
      <x:c r="D2285" s="32" t="str">
        <x:v>Peninsula Least Gecko</x:v>
      </x:c>
      <x:c r="E2285" s="32" t="str">
        <x:v>Sphaerodactylus clenchi</x:v>
      </x:c>
      <x:c r="F2285" s="30" t="str">
        <x:v>rare</x:v>
      </x:c>
      <x:c r="G2285" s="30" t="str">
        <x:v>standard</x:v>
      </x:c>
      <x:c r="H2285" s="30" t="str">
        <x:v>year-round</x:v>
      </x:c>
      <x:c r="I22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6">
      <x:c r="A2286" s="36" t="str">
        <x:v>caribbean</x:v>
      </x:c>
      <x:c r="B2286" s="30" t="str">
        <x:v>caribbean-broad-draft-1</x:v>
      </x:c>
      <x:c r="C2286" s="30" t="n">
        <x:v>36677</x:v>
      </x:c>
      <x:c r="D2286" s="32" t="str">
        <x:v>Dwarf Anole</x:v>
      </x:c>
      <x:c r="E2286" s="32" t="str">
        <x:v>Anolis occultus</x:v>
      </x:c>
      <x:c r="F2286" s="30" t="str">
        <x:v>rare</x:v>
      </x:c>
      <x:c r="G2286" s="30" t="str">
        <x:v>standard</x:v>
      </x:c>
      <x:c r="H2286" s="30" t="str">
        <x:v>year-round</x:v>
      </x:c>
      <x:c r="I22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7">
      <x:c r="A2287" s="36" t="str">
        <x:v>caribbean</x:v>
      </x:c>
      <x:c r="B2287" s="30" t="str">
        <x:v>caribbean-broad-draft-1</x:v>
      </x:c>
      <x:c r="C2287" s="30" t="n">
        <x:v>36621</x:v>
      </x:c>
      <x:c r="D2287" s="32" t="str">
        <x:v>Shreve's Anole</x:v>
      </x:c>
      <x:c r="E2287" s="32" t="str">
        <x:v>Anolis shrevei</x:v>
      </x:c>
      <x:c r="F2287" s="30" t="str">
        <x:v>rare</x:v>
      </x:c>
      <x:c r="G2287" s="30" t="str">
        <x:v>standard</x:v>
      </x:c>
      <x:c r="H2287" s="30" t="str">
        <x:v>year-round</x:v>
      </x:c>
      <x:c r="I22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8">
      <x:c r="A2288" s="36" t="str">
        <x:v>caribbean</x:v>
      </x:c>
      <x:c r="B2288" s="30" t="str">
        <x:v>caribbean-broad-draft-1</x:v>
      </x:c>
      <x:c r="C2288" s="30" t="n">
        <x:v>568930</x:v>
      </x:c>
      <x:c r="D2288" s="32" t="str">
        <x:v>Hispaniolan Blue-tailed Ameiva</x:v>
      </x:c>
      <x:c r="E2288" s="32" t="str">
        <x:v>Pholidoscelis taeniurus</x:v>
      </x:c>
      <x:c r="F2288" s="30" t="str">
        <x:v>rare</x:v>
      </x:c>
      <x:c r="G2288" s="30" t="str">
        <x:v>standard</x:v>
      </x:c>
      <x:c r="H2288" s="30" t="str">
        <x:v>year-round</x:v>
      </x:c>
      <x:c r="I22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89">
      <x:c r="A2289" s="36" t="str">
        <x:v>caribbean</x:v>
      </x:c>
      <x:c r="B2289" s="30" t="str">
        <x:v>caribbean-broad-draft-1</x:v>
      </x:c>
      <x:c r="C2289" s="30" t="n">
        <x:v>33811</x:v>
      </x:c>
      <x:c r="D2289" s="32" t="str">
        <x:v>Windward Sphaero</x:v>
      </x:c>
      <x:c r="E2289" s="32" t="str">
        <x:v>Sphaerodactylus vincenti</x:v>
      </x:c>
      <x:c r="F2289" s="30" t="str">
        <x:v>rare</x:v>
      </x:c>
      <x:c r="G2289" s="30" t="str">
        <x:v>standard</x:v>
      </x:c>
      <x:c r="H2289" s="30" t="str">
        <x:v>year-round</x:v>
      </x:c>
      <x:c r="I22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0">
      <x:c r="A2290" s="36" t="str">
        <x:v>caribbean</x:v>
      </x:c>
      <x:c r="B2290" s="30" t="str">
        <x:v>caribbean-broad-draft-1</x:v>
      </x:c>
      <x:c r="C2290" s="30" t="n">
        <x:v>1148909</x:v>
      </x:c>
      <x:c r="D2290" s="32" t="str">
        <x:v>Southern Stout Anole</x:v>
      </x:c>
      <x:c r="E2290" s="32" t="str">
        <x:v>Anolis australis</x:v>
      </x:c>
      <x:c r="F2290" s="30" t="str">
        <x:v>very_rare</x:v>
      </x:c>
      <x:c r="G2290" s="30" t="str">
        <x:v>standard</x:v>
      </x:c>
      <x:c r="H2290" s="30" t="str">
        <x:v>year-round</x:v>
      </x:c>
      <x:c r="I22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1">
      <x:c r="A2291" s="36" t="str">
        <x:v>caribbean</x:v>
      </x:c>
      <x:c r="B2291" s="30" t="str">
        <x:v>caribbean-broad-draft-1</x:v>
      </x:c>
      <x:c r="C2291" s="30" t="n">
        <x:v>1223358</x:v>
      </x:c>
      <x:c r="D2291" s="32" t="str">
        <x:v>pallid stout anole</x:v>
      </x:c>
      <x:c r="E2291" s="32" t="str">
        <x:v>Anolis saxatilis</x:v>
      </x:c>
      <x:c r="F2291" s="30" t="str">
        <x:v>very_rare</x:v>
      </x:c>
      <x:c r="G2291" s="30" t="str">
        <x:v>standard</x:v>
      </x:c>
      <x:c r="H2291" s="30" t="str">
        <x:v>year-round</x:v>
      </x:c>
      <x:c r="I22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2">
      <x:c r="A2292" s="36" t="str">
        <x:v>caribbean</x:v>
      </x:c>
      <x:c r="B2292" s="30" t="str">
        <x:v>caribbean-broad-draft-1</x:v>
      </x:c>
      <x:c r="C2292" s="30" t="n">
        <x:v>36599</x:v>
      </x:c>
      <x:c r="D2292" s="32" t="str">
        <x:v>Vinales Anole</x:v>
      </x:c>
      <x:c r="E2292" s="32" t="str">
        <x:v>Anolis vermiculatus</x:v>
      </x:c>
      <x:c r="F2292" s="30" t="str">
        <x:v>very_rare</x:v>
      </x:c>
      <x:c r="G2292" s="30" t="str">
        <x:v>standard</x:v>
      </x:c>
      <x:c r="H2292" s="30" t="str">
        <x:v>year-round</x:v>
      </x:c>
      <x:c r="I22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3">
      <x:c r="A2293" s="36" t="str">
        <x:v>caribbean</x:v>
      </x:c>
      <x:c r="B2293" s="30" t="str">
        <x:v>caribbean-broad-draft-1</x:v>
      </x:c>
      <x:c r="C2293" s="30" t="n">
        <x:v>121196</x:v>
      </x:c>
      <x:c r="D2293" s="32" t="str">
        <x:v>Atlantic Blue Tang</x:v>
      </x:c>
      <x:c r="E2293" s="32" t="str">
        <x:v>Acanthurus coeruleus</x:v>
      </x:c>
      <x:c r="F2293" s="30" t="str">
        <x:v>common</x:v>
      </x:c>
      <x:c r="G2293" s="30" t="str">
        <x:v>standard</x:v>
      </x:c>
      <x:c r="H2293" s="30" t="str">
        <x:v>year-round</x:v>
      </x:c>
      <x:c r="I22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4">
      <x:c r="A2294" s="36" t="str">
        <x:v>caribbean</x:v>
      </x:c>
      <x:c r="B2294" s="30" t="str">
        <x:v>caribbean-broad-draft-1</x:v>
      </x:c>
      <x:c r="C2294" s="30" t="n">
        <x:v>49402</x:v>
      </x:c>
      <x:c r="D2294" s="32" t="str">
        <x:v>Atlantic Sergeant Major</x:v>
      </x:c>
      <x:c r="E2294" s="32" t="str">
        <x:v>Abudefduf saxatilis</x:v>
      </x:c>
      <x:c r="F2294" s="30" t="str">
        <x:v>common</x:v>
      </x:c>
      <x:c r="G2294" s="30" t="str">
        <x:v>standard</x:v>
      </x:c>
      <x:c r="H2294" s="30" t="str">
        <x:v>year-round</x:v>
      </x:c>
      <x:c r="I22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5">
      <x:c r="A2295" s="36" t="str">
        <x:v>caribbean</x:v>
      </x:c>
      <x:c r="B2295" s="30" t="str">
        <x:v>caribbean-broad-draft-1</x:v>
      </x:c>
      <x:c r="C2295" s="30" t="n">
        <x:v>49491</x:v>
      </x:c>
      <x:c r="D2295" s="32" t="str">
        <x:v>Caribbean Bluehead Wrasse</x:v>
      </x:c>
      <x:c r="E2295" s="32" t="str">
        <x:v>Thalassoma bifasciatum</x:v>
      </x:c>
      <x:c r="F2295" s="30" t="str">
        <x:v>common</x:v>
      </x:c>
      <x:c r="G2295" s="30" t="str">
        <x:v>standard</x:v>
      </x:c>
      <x:c r="H2295" s="30" t="str">
        <x:v>year-round</x:v>
      </x:c>
      <x:c r="I22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6">
      <x:c r="A2296" s="36" t="str">
        <x:v>caribbean</x:v>
      </x:c>
      <x:c r="B2296" s="30" t="str">
        <x:v>caribbean-broad-draft-1</x:v>
      </x:c>
      <x:c r="C2296" s="30" t="n">
        <x:v>81989</x:v>
      </x:c>
      <x:c r="D2296" s="32" t="str">
        <x:v>Schoolmaster Snapper</x:v>
      </x:c>
      <x:c r="E2296" s="32" t="str">
        <x:v>Lutjanus apodus</x:v>
      </x:c>
      <x:c r="F2296" s="30" t="str">
        <x:v>common</x:v>
      </x:c>
      <x:c r="G2296" s="30" t="str">
        <x:v>standard</x:v>
      </x:c>
      <x:c r="H2296" s="30" t="str">
        <x:v>year-round</x:v>
      </x:c>
      <x:c r="I22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7">
      <x:c r="A2297" s="36" t="str">
        <x:v>caribbean</x:v>
      </x:c>
      <x:c r="B2297" s="30" t="str">
        <x:v>caribbean-broad-draft-1</x:v>
      </x:c>
      <x:c r="C2297" s="30" t="n">
        <x:v>62600</x:v>
      </x:c>
      <x:c r="D2297" s="32" t="str">
        <x:v>French Grunt</x:v>
      </x:c>
      <x:c r="E2297" s="32" t="str">
        <x:v>Haemulon flavolineatum</x:v>
      </x:c>
      <x:c r="F2297" s="30" t="str">
        <x:v>common</x:v>
      </x:c>
      <x:c r="G2297" s="30" t="str">
        <x:v>standard</x:v>
      </x:c>
      <x:c r="H2297" s="30" t="str">
        <x:v>year-round</x:v>
      </x:c>
      <x:c r="I22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8">
      <x:c r="A2298" s="36" t="str">
        <x:v>caribbean</x:v>
      </x:c>
      <x:c r="B2298" s="30" t="str">
        <x:v>caribbean-broad-draft-1</x:v>
      </x:c>
      <x:c r="C2298" s="30" t="n">
        <x:v>49272</x:v>
      </x:c>
      <x:c r="D2298" s="32" t="str">
        <x:v>Slippery Dick</x:v>
      </x:c>
      <x:c r="E2298" s="32" t="str">
        <x:v>Halichoeres bivittatus</x:v>
      </x:c>
      <x:c r="F2298" s="30" t="str">
        <x:v>common</x:v>
      </x:c>
      <x:c r="G2298" s="30" t="str">
        <x:v>standard</x:v>
      </x:c>
      <x:c r="H2298" s="30" t="str">
        <x:v>year-round</x:v>
      </x:c>
      <x:c r="I22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299">
      <x:c r="A2299" s="36" t="str">
        <x:v>caribbean</x:v>
      </x:c>
      <x:c r="B2299" s="30" t="str">
        <x:v>caribbean-broad-draft-1</x:v>
      </x:c>
      <x:c r="C2299" s="30" t="n">
        <x:v>871060</x:v>
      </x:c>
      <x:c r="D2299" s="32" t="str">
        <x:v>Caribbean Ocean Surgeonfish</x:v>
      </x:c>
      <x:c r="E2299" s="32" t="str">
        <x:v>Acanthurus tractus</x:v>
      </x:c>
      <x:c r="F2299" s="30" t="str">
        <x:v>common</x:v>
      </x:c>
      <x:c r="G2299" s="30" t="str">
        <x:v>standard</x:v>
      </x:c>
      <x:c r="H2299" s="30" t="str">
        <x:v>year-round</x:v>
      </x:c>
      <x:c r="I22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0">
      <x:c r="A2300" s="36" t="str">
        <x:v>caribbean</x:v>
      </x:c>
      <x:c r="B2300" s="30" t="str">
        <x:v>caribbean-broad-draft-1</x:v>
      </x:c>
      <x:c r="C2300" s="30" t="n">
        <x:v>112867</x:v>
      </x:c>
      <x:c r="D2300" s="32" t="str">
        <x:v>Stoplight Parrotfish</x:v>
      </x:c>
      <x:c r="E2300" s="32" t="str">
        <x:v>Sparisoma viride</x:v>
      </x:c>
      <x:c r="F2300" s="30" t="str">
        <x:v>common</x:v>
      </x:c>
      <x:c r="G2300" s="30" t="str">
        <x:v>standard</x:v>
      </x:c>
      <x:c r="H2300" s="30" t="str">
        <x:v>year-round</x:v>
      </x:c>
      <x:c r="I23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1">
      <x:c r="A2301" s="36" t="str">
        <x:v>caribbean</x:v>
      </x:c>
      <x:c r="B2301" s="30" t="str">
        <x:v>caribbean-broad-draft-1</x:v>
      </x:c>
      <x:c r="C2301" s="30" t="n">
        <x:v>47292</x:v>
      </x:c>
      <x:c r="D2301" s="32" t="str">
        <x:v>Yellowtail Snapper</x:v>
      </x:c>
      <x:c r="E2301" s="32" t="str">
        <x:v>Ocyurus chrysurus</x:v>
      </x:c>
      <x:c r="F2301" s="30" t="str">
        <x:v>common</x:v>
      </x:c>
      <x:c r="G2301" s="30" t="str">
        <x:v>standard</x:v>
      </x:c>
      <x:c r="H2301" s="30" t="str">
        <x:v>year-round</x:v>
      </x:c>
      <x:c r="I23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2">
      <x:c r="A2302" s="36" t="str">
        <x:v>caribbean</x:v>
      </x:c>
      <x:c r="B2302" s="30" t="str">
        <x:v>caribbean-broad-draft-1</x:v>
      </x:c>
      <x:c r="C2302" s="30" t="n">
        <x:v>47251</x:v>
      </x:c>
      <x:c r="D2302" s="32" t="str">
        <x:v>Great Barracuda</x:v>
      </x:c>
      <x:c r="E2302" s="32" t="str">
        <x:v>Sphyraena barracuda</x:v>
      </x:c>
      <x:c r="F2302" s="30" t="str">
        <x:v>common</x:v>
      </x:c>
      <x:c r="G2302" s="30" t="str">
        <x:v>standard</x:v>
      </x:c>
      <x:c r="H2302" s="30" t="str">
        <x:v>year-round</x:v>
      </x:c>
      <x:c r="I23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3">
      <x:c r="A2303" s="36" t="str">
        <x:v>caribbean</x:v>
      </x:c>
      <x:c r="B2303" s="30" t="str">
        <x:v>caribbean-broad-draft-1</x:v>
      </x:c>
      <x:c r="C2303" s="30" t="n">
        <x:v>82330</x:v>
      </x:c>
      <x:c r="D2303" s="32" t="str">
        <x:v>Bar Jack</x:v>
      </x:c>
      <x:c r="E2303" s="32" t="str">
        <x:v>Caranx ruber</x:v>
      </x:c>
      <x:c r="F2303" s="30" t="str">
        <x:v>common</x:v>
      </x:c>
      <x:c r="G2303" s="30" t="str">
        <x:v>standard</x:v>
      </x:c>
      <x:c r="H2303" s="30" t="str">
        <x:v>year-round</x:v>
      </x:c>
      <x:c r="I23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4">
      <x:c r="A2304" s="36" t="str">
        <x:v>caribbean</x:v>
      </x:c>
      <x:c r="B2304" s="30" t="str">
        <x:v>caribbean-broad-draft-1</x:v>
      </x:c>
      <x:c r="C2304" s="30" t="n">
        <x:v>49690</x:v>
      </x:c>
      <x:c r="D2304" s="32" t="str">
        <x:v>Striped Parrotfish</x:v>
      </x:c>
      <x:c r="E2304" s="32" t="str">
        <x:v>Scarus iseri</x:v>
      </x:c>
      <x:c r="F2304" s="30" t="str">
        <x:v>common</x:v>
      </x:c>
      <x:c r="G2304" s="30" t="str">
        <x:v>standard</x:v>
      </x:c>
      <x:c r="H2304" s="30" t="str">
        <x:v>year-round</x:v>
      </x:c>
      <x:c r="I23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5">
      <x:c r="A2305" s="36" t="str">
        <x:v>caribbean</x:v>
      </x:c>
      <x:c r="B2305" s="30" t="str">
        <x:v>caribbean-broad-draft-1</x:v>
      </x:c>
      <x:c r="C2305" s="30" t="n">
        <x:v>47238</x:v>
      </x:c>
      <x:c r="D2305" s="32" t="str">
        <x:v>Western Atlantic Trumpetfish</x:v>
      </x:c>
      <x:c r="E2305" s="32" t="str">
        <x:v>Aulostomus maculatus</x:v>
      </x:c>
      <x:c r="F2305" s="30" t="str">
        <x:v>common</x:v>
      </x:c>
      <x:c r="G2305" s="30" t="str">
        <x:v>standard</x:v>
      </x:c>
      <x:c r="H2305" s="30" t="str">
        <x:v>year-round</x:v>
      </x:c>
      <x:c r="I23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6">
      <x:c r="A2306" s="36" t="str">
        <x:v>caribbean</x:v>
      </x:c>
      <x:c r="B2306" s="30" t="str">
        <x:v>caribbean-broad-draft-1</x:v>
      </x:c>
      <x:c r="C2306" s="30" t="n">
        <x:v>52956</x:v>
      </x:c>
      <x:c r="D2306" s="32" t="str">
        <x:v>Four-eyed Butterflyfish</x:v>
      </x:c>
      <x:c r="E2306" s="32" t="str">
        <x:v>Chaetodon capistratus</x:v>
      </x:c>
      <x:c r="F2306" s="30" t="str">
        <x:v>common</x:v>
      </x:c>
      <x:c r="G2306" s="30" t="str">
        <x:v>standard</x:v>
      </x:c>
      <x:c r="H2306" s="30" t="str">
        <x:v>year-round</x:v>
      </x:c>
      <x:c r="I23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7">
      <x:c r="A2307" s="36" t="str">
        <x:v>caribbean</x:v>
      </x:c>
      <x:c r="B2307" s="30" t="str">
        <x:v>caribbean-broad-draft-1</x:v>
      </x:c>
      <x:c r="C2307" s="30" t="n">
        <x:v>47280</x:v>
      </x:c>
      <x:c r="D2307" s="32" t="str">
        <x:v>Common Lionfish</x:v>
      </x:c>
      <x:c r="E2307" s="32" t="str">
        <x:v>Pterois volitans</x:v>
      </x:c>
      <x:c r="F2307" s="30" t="str">
        <x:v>common</x:v>
      </x:c>
      <x:c r="G2307" s="30" t="str">
        <x:v>standard</x:v>
      </x:c>
      <x:c r="H2307" s="30" t="str">
        <x:v>year-round</x:v>
      </x:c>
      <x:c r="I23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8">
      <x:c r="A2308" s="36" t="str">
        <x:v>caribbean</x:v>
      </x:c>
      <x:c r="B2308" s="30" t="str">
        <x:v>caribbean-broad-draft-1</x:v>
      </x:c>
      <x:c r="C2308" s="30" t="n">
        <x:v>180708</x:v>
      </x:c>
      <x:c r="D2308" s="32" t="str">
        <x:v>Beaugregory</x:v>
      </x:c>
      <x:c r="E2308" s="32" t="str">
        <x:v>Stegastes leucostictus</x:v>
      </x:c>
      <x:c r="F2308" s="30" t="str">
        <x:v>common</x:v>
      </x:c>
      <x:c r="G2308" s="30" t="str">
        <x:v>standard</x:v>
      </x:c>
      <x:c r="H2308" s="30" t="str">
        <x:v>year-round</x:v>
      </x:c>
      <x:c r="I23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09">
      <x:c r="A2309" s="36" t="str">
        <x:v>caribbean</x:v>
      </x:c>
      <x:c r="B2309" s="30" t="str">
        <x:v>caribbean-broad-draft-1</x:v>
      </x:c>
      <x:c r="C2309" s="30" t="n">
        <x:v>49753</x:v>
      </x:c>
      <x:c r="D2309" s="32" t="str">
        <x:v>Yellowtail Damselfish</x:v>
      </x:c>
      <x:c r="E2309" s="32" t="str">
        <x:v>Microspathodon chrysurus</x:v>
      </x:c>
      <x:c r="F2309" s="30" t="str">
        <x:v>common</x:v>
      </x:c>
      <x:c r="G2309" s="30" t="str">
        <x:v>standard</x:v>
      </x:c>
      <x:c r="H2309" s="30" t="str">
        <x:v>year-round</x:v>
      </x:c>
      <x:c r="I23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0">
      <x:c r="A2310" s="36" t="str">
        <x:v>caribbean</x:v>
      </x:c>
      <x:c r="B2310" s="30" t="str">
        <x:v>caribbean-broad-draft-1</x:v>
      </x:c>
      <x:c r="C2310" s="30" t="n">
        <x:v>49625</x:v>
      </x:c>
      <x:c r="D2310" s="32" t="str">
        <x:v>Longspine Squirrelfish</x:v>
      </x:c>
      <x:c r="E2310" s="32" t="str">
        <x:v>Holocentrus rufus</x:v>
      </x:c>
      <x:c r="F2310" s="30" t="str">
        <x:v>common</x:v>
      </x:c>
      <x:c r="G2310" s="30" t="str">
        <x:v>standard</x:v>
      </x:c>
      <x:c r="H2310" s="30" t="str">
        <x:v>year-round</x:v>
      </x:c>
      <x:c r="I23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1">
      <x:c r="A2311" s="36" t="str">
        <x:v>caribbean</x:v>
      </x:c>
      <x:c r="B2311" s="30" t="str">
        <x:v>caribbean-broad-draft-1</x:v>
      </x:c>
      <x:c r="C2311" s="30" t="n">
        <x:v>49509</x:v>
      </x:c>
      <x:c r="D2311" s="32" t="str">
        <x:v>Gray Snapper</x:v>
      </x:c>
      <x:c r="E2311" s="32" t="str">
        <x:v>Lutjanus griseus</x:v>
      </x:c>
      <x:c r="F2311" s="30" t="str">
        <x:v>common</x:v>
      </x:c>
      <x:c r="G2311" s="30" t="str">
        <x:v>standard</x:v>
      </x:c>
      <x:c r="H2311" s="30" t="str">
        <x:v>year-round</x:v>
      </x:c>
      <x:c r="I23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2">
      <x:c r="A2312" s="36" t="str">
        <x:v>caribbean</x:v>
      </x:c>
      <x:c r="B2312" s="30" t="str">
        <x:v>caribbean-broad-draft-1</x:v>
      </x:c>
      <x:c r="C2312" s="30" t="n">
        <x:v>49257</x:v>
      </x:c>
      <x:c r="D2312" s="32" t="str">
        <x:v>French Angelfish</x:v>
      </x:c>
      <x:c r="E2312" s="32" t="str">
        <x:v>Pomacanthus paru</x:v>
      </x:c>
      <x:c r="F2312" s="30" t="str">
        <x:v>common</x:v>
      </x:c>
      <x:c r="G2312" s="30" t="str">
        <x:v>standard</x:v>
      </x:c>
      <x:c r="H2312" s="30" t="str">
        <x:v>year-round</x:v>
      </x:c>
      <x:c r="I23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3">
      <x:c r="A2313" s="36" t="str">
        <x:v>caribbean</x:v>
      </x:c>
      <x:c r="B2313" s="30" t="str">
        <x:v>caribbean-broad-draft-1</x:v>
      </x:c>
      <x:c r="C2313" s="30" t="n">
        <x:v>577603</x:v>
      </x:c>
      <x:c r="D2313" s="32" t="str">
        <x:v>Smooth Trunkfish</x:v>
      </x:c>
      <x:c r="E2313" s="32" t="str">
        <x:v>Lactophrys triqueter</x:v>
      </x:c>
      <x:c r="F2313" s="30" t="str">
        <x:v>common</x:v>
      </x:c>
      <x:c r="G2313" s="30" t="str">
        <x:v>standard</x:v>
      </x:c>
      <x:c r="H2313" s="30" t="str">
        <x:v>year-round</x:v>
      </x:c>
      <x:c r="I23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4">
      <x:c r="A2314" s="36" t="str">
        <x:v>caribbean</x:v>
      </x:c>
      <x:c r="B2314" s="30" t="str">
        <x:v>caribbean-broad-draft-1</x:v>
      </x:c>
      <x:c r="C2314" s="30" t="n">
        <x:v>51402</x:v>
      </x:c>
      <x:c r="D2314" s="32" t="str">
        <x:v>Atlantic Tarpon</x:v>
      </x:c>
      <x:c r="E2314" s="32" t="str">
        <x:v>Megalops atlanticus</x:v>
      </x:c>
      <x:c r="F2314" s="30" t="str">
        <x:v>common</x:v>
      </x:c>
      <x:c r="G2314" s="30" t="str">
        <x:v>standard</x:v>
      </x:c>
      <x:c r="H2314" s="30" t="str">
        <x:v>year-round</x:v>
      </x:c>
      <x:c r="I23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5">
      <x:c r="A2315" s="36" t="str">
        <x:v>caribbean</x:v>
      </x:c>
      <x:c r="B2315" s="30" t="str">
        <x:v>caribbean-broad-draft-1</x:v>
      </x:c>
      <x:c r="C2315" s="30" t="n">
        <x:v>112858</x:v>
      </x:c>
      <x:c r="D2315" s="32" t="str">
        <x:v>Redband Parrotfish</x:v>
      </x:c>
      <x:c r="E2315" s="32" t="str">
        <x:v>Sparisoma aurofrenatum</x:v>
      </x:c>
      <x:c r="F2315" s="30" t="str">
        <x:v>common</x:v>
      </x:c>
      <x:c r="G2315" s="30" t="str">
        <x:v>standard</x:v>
      </x:c>
      <x:c r="H2315" s="30" t="str">
        <x:v>year-round</x:v>
      </x:c>
      <x:c r="I23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6">
      <x:c r="A2316" s="36" t="str">
        <x:v>caribbean</x:v>
      </x:c>
      <x:c r="B2316" s="30" t="str">
        <x:v>caribbean-broad-draft-1</x:v>
      </x:c>
      <x:c r="C2316" s="30" t="n">
        <x:v>112864</x:v>
      </x:c>
      <x:c r="D2316" s="32" t="str">
        <x:v>Yellowtail Parrotfish</x:v>
      </x:c>
      <x:c r="E2316" s="32" t="str">
        <x:v>Sparisoma rubripinne</x:v>
      </x:c>
      <x:c r="F2316" s="30" t="str">
        <x:v>common</x:v>
      </x:c>
      <x:c r="G2316" s="30" t="str">
        <x:v>standard</x:v>
      </x:c>
      <x:c r="H2316" s="30" t="str">
        <x:v>year-round</x:v>
      </x:c>
      <x:c r="I23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7">
      <x:c r="A2317" s="36" t="str">
        <x:v>caribbean</x:v>
      </x:c>
      <x:c r="B2317" s="30" t="str">
        <x:v>caribbean-broad-draft-1</x:v>
      </x:c>
      <x:c r="C2317" s="30" t="n">
        <x:v>101420</x:v>
      </x:c>
      <x:c r="D2317" s="32" t="str">
        <x:v>Yellowfin Mojarra</x:v>
      </x:c>
      <x:c r="E2317" s="32" t="str">
        <x:v>Gerres cinereus</x:v>
      </x:c>
      <x:c r="F2317" s="30" t="str">
        <x:v>common</x:v>
      </x:c>
      <x:c r="G2317" s="30" t="str">
        <x:v>standard</x:v>
      </x:c>
      <x:c r="H2317" s="30" t="str">
        <x:v>year-round</x:v>
      </x:c>
      <x:c r="I23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8">
      <x:c r="A2318" s="36" t="str">
        <x:v>caribbean</x:v>
      </x:c>
      <x:c r="B2318" s="30" t="str">
        <x:v>caribbean-broad-draft-1</x:v>
      </x:c>
      <x:c r="C2318" s="30" t="n">
        <x:v>49262</x:v>
      </x:c>
      <x:c r="D2318" s="32" t="str">
        <x:v>Bluestriped Grunt</x:v>
      </x:c>
      <x:c r="E2318" s="32" t="str">
        <x:v>Haemulon sciurus</x:v>
      </x:c>
      <x:c r="F2318" s="30" t="str">
        <x:v>common</x:v>
      </x:c>
      <x:c r="G2318" s="30" t="str">
        <x:v>standard</x:v>
      </x:c>
      <x:c r="H2318" s="30" t="str">
        <x:v>year-round</x:v>
      </x:c>
      <x:c r="I23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19">
      <x:c r="A2319" s="36" t="str">
        <x:v>caribbean</x:v>
      </x:c>
      <x:c r="B2319" s="30" t="str">
        <x:v>caribbean-broad-draft-1</x:v>
      </x:c>
      <x:c r="C2319" s="30" t="n">
        <x:v>97202</x:v>
      </x:c>
      <x:c r="D2319" s="32" t="str">
        <x:v>Banded Butterflyfish</x:v>
      </x:c>
      <x:c r="E2319" s="32" t="str">
        <x:v>Chaetodon striatus</x:v>
      </x:c>
      <x:c r="F2319" s="30" t="str">
        <x:v>common</x:v>
      </x:c>
      <x:c r="G2319" s="30" t="str">
        <x:v>standard</x:v>
      </x:c>
      <x:c r="H2319" s="30" t="str">
        <x:v>year-round</x:v>
      </x:c>
      <x:c r="I23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0">
      <x:c r="A2320" s="36" t="str">
        <x:v>caribbean</x:v>
      </x:c>
      <x:c r="B2320" s="30" t="str">
        <x:v>caribbean-broad-draft-1</x:v>
      </x:c>
      <x:c r="C2320" s="30" t="n">
        <x:v>49404</x:v>
      </x:c>
      <x:c r="D2320" s="32" t="str">
        <x:v>Sand Diver</x:v>
      </x:c>
      <x:c r="E2320" s="32" t="str">
        <x:v>Synodus intermedius</x:v>
      </x:c>
      <x:c r="F2320" s="30" t="str">
        <x:v>common</x:v>
      </x:c>
      <x:c r="G2320" s="30" t="str">
        <x:v>standard</x:v>
      </x:c>
      <x:c r="H2320" s="30" t="str">
        <x:v>year-round</x:v>
      </x:c>
      <x:c r="I23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1">
      <x:c r="A2321" s="36" t="str">
        <x:v>caribbean</x:v>
      </x:c>
      <x:c r="B2321" s="30" t="str">
        <x:v>caribbean-broad-draft-1</x:v>
      </x:c>
      <x:c r="C2321" s="30" t="n">
        <x:v>128172</x:v>
      </x:c>
      <x:c r="D2321" s="32" t="str">
        <x:v>Yellow Goatfish</x:v>
      </x:c>
      <x:c r="E2321" s="32" t="str">
        <x:v>Mulloidichthys martinicus</x:v>
      </x:c>
      <x:c r="F2321" s="30" t="str">
        <x:v>common</x:v>
      </x:c>
      <x:c r="G2321" s="30" t="str">
        <x:v>standard</x:v>
      </x:c>
      <x:c r="H2321" s="30" t="str">
        <x:v>year-round</x:v>
      </x:c>
      <x:c r="I23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2">
      <x:c r="A2322" s="36" t="str">
        <x:v>caribbean</x:v>
      </x:c>
      <x:c r="B2322" s="30" t="str">
        <x:v>caribbean-broad-draft-1</x:v>
      </x:c>
      <x:c r="C2322" s="30" t="n">
        <x:v>52313</x:v>
      </x:c>
      <x:c r="D2322" s="32" t="str">
        <x:v>Spotted Porcupinefish</x:v>
      </x:c>
      <x:c r="E2322" s="32" t="str">
        <x:v>Diodon hystrix</x:v>
      </x:c>
      <x:c r="F2322" s="30" t="str">
        <x:v>common</x:v>
      </x:c>
      <x:c r="G2322" s="30" t="str">
        <x:v>standard</x:v>
      </x:c>
      <x:c r="H2322" s="30" t="str">
        <x:v>year-round</x:v>
      </x:c>
      <x:c r="I23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3">
      <x:c r="A2323" s="36" t="str">
        <x:v>caribbean</x:v>
      </x:c>
      <x:c r="B2323" s="30" t="str">
        <x:v>caribbean-broad-draft-1</x:v>
      </x:c>
      <x:c r="C2323" s="30" t="n">
        <x:v>52460</x:v>
      </x:c>
      <x:c r="D2323" s="32" t="str">
        <x:v>Houndfish</x:v>
      </x:c>
      <x:c r="E2323" s="32" t="str">
        <x:v>Tylosurus crocodilus</x:v>
      </x:c>
      <x:c r="F2323" s="30" t="str">
        <x:v>common</x:v>
      </x:c>
      <x:c r="G2323" s="30" t="str">
        <x:v>standard</x:v>
      </x:c>
      <x:c r="H2323" s="30" t="str">
        <x:v>year-round</x:v>
      </x:c>
      <x:c r="I23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4">
      <x:c r="A2324" s="36" t="str">
        <x:v>caribbean</x:v>
      </x:c>
      <x:c r="B2324" s="30" t="str">
        <x:v>caribbean-broad-draft-1</x:v>
      </x:c>
      <x:c r="C2324" s="30" t="n">
        <x:v>49923</x:v>
      </x:c>
      <x:c r="D2324" s="32" t="str">
        <x:v>Dusky Damselfish</x:v>
      </x:c>
      <x:c r="E2324" s="32" t="str">
        <x:v>Stegastes adustus</x:v>
      </x:c>
      <x:c r="F2324" s="30" t="str">
        <x:v>common</x:v>
      </x:c>
      <x:c r="G2324" s="30" t="str">
        <x:v>standard</x:v>
      </x:c>
      <x:c r="H2324" s="30" t="str">
        <x:v>year-round</x:v>
      </x:c>
      <x:c r="I23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5">
      <x:c r="A2325" s="36" t="str">
        <x:v>caribbean</x:v>
      </x:c>
      <x:c r="B2325" s="30" t="str">
        <x:v>caribbean-broad-draft-1</x:v>
      </x:c>
      <x:c r="C2325" s="30" t="n">
        <x:v>49942</x:v>
      </x:c>
      <x:c r="D2325" s="32" t="str">
        <x:v>Puddingwife Wrasse</x:v>
      </x:c>
      <x:c r="E2325" s="32" t="str">
        <x:v>Halichoeres radiatus</x:v>
      </x:c>
      <x:c r="F2325" s="30" t="str">
        <x:v>common</x:v>
      </x:c>
      <x:c r="G2325" s="30" t="str">
        <x:v>standard</x:v>
      </x:c>
      <x:c r="H2325" s="30" t="str">
        <x:v>year-round</x:v>
      </x:c>
      <x:c r="I23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6">
      <x:c r="A2326" s="36" t="str">
        <x:v>caribbean</x:v>
      </x:c>
      <x:c r="B2326" s="30" t="str">
        <x:v>caribbean-broad-draft-1</x:v>
      </x:c>
      <x:c r="C2326" s="30" t="n">
        <x:v>49746</x:v>
      </x:c>
      <x:c r="D2326" s="32" t="str">
        <x:v>Nassau Grouper</x:v>
      </x:c>
      <x:c r="E2326" s="32" t="str">
        <x:v>Epinephelus striatus</x:v>
      </x:c>
      <x:c r="F2326" s="30" t="str">
        <x:v>common</x:v>
      </x:c>
      <x:c r="G2326" s="30" t="str">
        <x:v>standard</x:v>
      </x:c>
      <x:c r="H2326" s="30" t="str">
        <x:v>year-round</x:v>
      </x:c>
      <x:c r="I23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7">
      <x:c r="A2327" s="36" t="str">
        <x:v>caribbean</x:v>
      </x:c>
      <x:c r="B2327" s="30" t="str">
        <x:v>caribbean-broad-draft-1</x:v>
      </x:c>
      <x:c r="C2327" s="30" t="n">
        <x:v>49626</x:v>
      </x:c>
      <x:c r="D2327" s="32" t="str">
        <x:v>Squirrelfish</x:v>
      </x:c>
      <x:c r="E2327" s="32" t="str">
        <x:v>Holocentrus adscensionis</x:v>
      </x:c>
      <x:c r="F2327" s="30" t="str">
        <x:v>common</x:v>
      </x:c>
      <x:c r="G2327" s="30" t="str">
        <x:v>standard</x:v>
      </x:c>
      <x:c r="H2327" s="30" t="str">
        <x:v>year-round</x:v>
      </x:c>
      <x:c r="I23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8">
      <x:c r="A2328" s="36" t="str">
        <x:v>caribbean</x:v>
      </x:c>
      <x:c r="B2328" s="30" t="str">
        <x:v>caribbean-broad-draft-1</x:v>
      </x:c>
      <x:c r="C2328" s="30" t="n">
        <x:v>112169</x:v>
      </x:c>
      <x:c r="D2328" s="32" t="str">
        <x:v>Queen Parrotfish</x:v>
      </x:c>
      <x:c r="E2328" s="32" t="str">
        <x:v>Scarus vetula</x:v>
      </x:c>
      <x:c r="F2328" s="30" t="str">
        <x:v>common</x:v>
      </x:c>
      <x:c r="G2328" s="30" t="str">
        <x:v>standard</x:v>
      </x:c>
      <x:c r="H2328" s="30" t="str">
        <x:v>year-round</x:v>
      </x:c>
      <x:c r="I23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29">
      <x:c r="A2329" s="36" t="str">
        <x:v>caribbean</x:v>
      </x:c>
      <x:c r="B2329" s="30" t="str">
        <x:v>caribbean-broad-draft-1</x:v>
      </x:c>
      <x:c r="C2329" s="30" t="n">
        <x:v>49946</x:v>
      </x:c>
      <x:c r="D2329" s="32" t="str">
        <x:v>Yellowhead Wrasse</x:v>
      </x:c>
      <x:c r="E2329" s="32" t="str">
        <x:v>Halichoeres garnoti</x:v>
      </x:c>
      <x:c r="F2329" s="30" t="str">
        <x:v>common</x:v>
      </x:c>
      <x:c r="G2329" s="30" t="str">
        <x:v>standard</x:v>
      </x:c>
      <x:c r="H2329" s="30" t="str">
        <x:v>year-round</x:v>
      </x:c>
      <x:c r="I23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0">
      <x:c r="A2330" s="36" t="str">
        <x:v>caribbean</x:v>
      </x:c>
      <x:c r="B2330" s="30" t="str">
        <x:v>caribbean-broad-draft-1</x:v>
      </x:c>
      <x:c r="C2330" s="30" t="n">
        <x:v>128853</x:v>
      </x:c>
      <x:c r="D2330" s="32" t="str">
        <x:v>Atlantic Peacock Flounder</x:v>
      </x:c>
      <x:c r="E2330" s="32" t="str">
        <x:v>Bothus lunatus</x:v>
      </x:c>
      <x:c r="F2330" s="30" t="str">
        <x:v>common</x:v>
      </x:c>
      <x:c r="G2330" s="30" t="str">
        <x:v>standard</x:v>
      </x:c>
      <x:c r="H2330" s="30" t="str">
        <x:v>year-round</x:v>
      </x:c>
      <x:c r="I23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1">
      <x:c r="A2331" s="36" t="str">
        <x:v>caribbean</x:v>
      </x:c>
      <x:c r="B2331" s="30" t="str">
        <x:v>caribbean-broad-draft-1</x:v>
      </x:c>
      <x:c r="C2331" s="30" t="n">
        <x:v>49428</x:v>
      </x:c>
      <x:c r="D2331" s="32" t="str">
        <x:v>Spanish Hogfish</x:v>
      </x:c>
      <x:c r="E2331" s="32" t="str">
        <x:v>Bodianus rufus</x:v>
      </x:c>
      <x:c r="F2331" s="30" t="str">
        <x:v>common</x:v>
      </x:c>
      <x:c r="G2331" s="30" t="str">
        <x:v>standard</x:v>
      </x:c>
      <x:c r="H2331" s="30" t="str">
        <x:v>year-round</x:v>
      </x:c>
      <x:c r="I23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2">
      <x:c r="A2332" s="36" t="str">
        <x:v>caribbean</x:v>
      </x:c>
      <x:c r="B2332" s="30" t="str">
        <x:v>caribbean-broad-draft-1</x:v>
      </x:c>
      <x:c r="C2332" s="30" t="n">
        <x:v>128857</x:v>
      </x:c>
      <x:c r="D2332" s="32" t="str">
        <x:v>Caribbean Sharpnose Puffer</x:v>
      </x:c>
      <x:c r="E2332" s="32" t="str">
        <x:v>Canthigaster rostrata</x:v>
      </x:c>
      <x:c r="F2332" s="30" t="str">
        <x:v>common</x:v>
      </x:c>
      <x:c r="G2332" s="30" t="str">
        <x:v>standard</x:v>
      </x:c>
      <x:c r="H2332" s="30" t="str">
        <x:v>year-round</x:v>
      </x:c>
      <x:c r="I23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3">
      <x:c r="A2333" s="36" t="str">
        <x:v>caribbean</x:v>
      </x:c>
      <x:c r="B2333" s="30" t="str">
        <x:v>caribbean-broad-draft-1</x:v>
      </x:c>
      <x:c r="C2333" s="30" t="n">
        <x:v>128105</x:v>
      </x:c>
      <x:c r="D2333" s="32" t="str">
        <x:v>Spotted Moray</x:v>
      </x:c>
      <x:c r="E2333" s="32" t="str">
        <x:v>Gymnothorax moringa</x:v>
      </x:c>
      <x:c r="F2333" s="30" t="str">
        <x:v>common</x:v>
      </x:c>
      <x:c r="G2333" s="30" t="str">
        <x:v>standard</x:v>
      </x:c>
      <x:c r="H2333" s="30" t="str">
        <x:v>year-round</x:v>
      </x:c>
      <x:c r="I23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4">
      <x:c r="A2334" s="36" t="str">
        <x:v>caribbean</x:v>
      </x:c>
      <x:c r="B2334" s="30" t="str">
        <x:v>caribbean-broad-draft-1</x:v>
      </x:c>
      <x:c r="C2334" s="30" t="n">
        <x:v>49951</x:v>
      </x:c>
      <x:c r="D2334" s="32" t="str">
        <x:v>White Grunt</x:v>
      </x:c>
      <x:c r="E2334" s="32" t="str">
        <x:v>Haemulon plumierii</x:v>
      </x:c>
      <x:c r="F2334" s="30" t="str">
        <x:v>common</x:v>
      </x:c>
      <x:c r="G2334" s="30" t="str">
        <x:v>standard</x:v>
      </x:c>
      <x:c r="H2334" s="30" t="str">
        <x:v>year-round</x:v>
      </x:c>
      <x:c r="I23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5">
      <x:c r="A2335" s="36" t="str">
        <x:v>caribbean</x:v>
      </x:c>
      <x:c r="B2335" s="30" t="str">
        <x:v>caribbean-broad-draft-1</x:v>
      </x:c>
      <x:c r="C2335" s="30" t="n">
        <x:v>1315935</x:v>
      </x:c>
      <x:c r="D2335" s="32" t="str">
        <x:v>Blue Chromis</x:v>
      </x:c>
      <x:c r="E2335" s="32" t="str">
        <x:v>Azurina cyanea</x:v>
      </x:c>
      <x:c r="F2335" s="30" t="str">
        <x:v>common</x:v>
      </x:c>
      <x:c r="G2335" s="30" t="str">
        <x:v>standard</x:v>
      </x:c>
      <x:c r="H2335" s="30" t="str">
        <x:v>year-round</x:v>
      </x:c>
      <x:c r="I23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6">
      <x:c r="A2336" s="36" t="str">
        <x:v>caribbean</x:v>
      </x:c>
      <x:c r="B2336" s="30" t="str">
        <x:v>caribbean-broad-draft-1</x:v>
      </x:c>
      <x:c r="C2336" s="30" t="n">
        <x:v>96991</x:v>
      </x:c>
      <x:c r="D2336" s="32" t="str">
        <x:v>Graysby</x:v>
      </x:c>
      <x:c r="E2336" s="32" t="str">
        <x:v>Cephalopholis cruentata</x:v>
      </x:c>
      <x:c r="F2336" s="30" t="str">
        <x:v>common</x:v>
      </x:c>
      <x:c r="G2336" s="30" t="str">
        <x:v>standard</x:v>
      </x:c>
      <x:c r="H2336" s="30" t="str">
        <x:v>year-round</x:v>
      </x:c>
      <x:c r="I23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7">
      <x:c r="A2337" s="36" t="str">
        <x:v>caribbean</x:v>
      </x:c>
      <x:c r="B2337" s="30" t="str">
        <x:v>caribbean-broad-draft-1</x:v>
      </x:c>
      <x:c r="C2337" s="30" t="n">
        <x:v>121195</x:v>
      </x:c>
      <x:c r="D2337" s="32" t="str">
        <x:v>Doctorfish</x:v>
      </x:c>
      <x:c r="E2337" s="32" t="str">
        <x:v>Acanthurus chirurgus</x:v>
      </x:c>
      <x:c r="F2337" s="30" t="str">
        <x:v>common</x:v>
      </x:c>
      <x:c r="G2337" s="30" t="str">
        <x:v>standard</x:v>
      </x:c>
      <x:c r="H2337" s="30" t="str">
        <x:v>year-round</x:v>
      </x:c>
      <x:c r="I23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8">
      <x:c r="A2338" s="36" t="str">
        <x:v>caribbean</x:v>
      </x:c>
      <x:c r="B2338" s="30" t="str">
        <x:v>caribbean-broad-draft-1</x:v>
      </x:c>
      <x:c r="C2338" s="30" t="n">
        <x:v>131387</x:v>
      </x:c>
      <x:c r="D2338" s="32" t="str">
        <x:v>Mahogany Snapper</x:v>
      </x:c>
      <x:c r="E2338" s="32" t="str">
        <x:v>Lutjanus mahogoni</x:v>
      </x:c>
      <x:c r="F2338" s="30" t="str">
        <x:v>common</x:v>
      </x:c>
      <x:c r="G2338" s="30" t="str">
        <x:v>standard</x:v>
      </x:c>
      <x:c r="H2338" s="30" t="str">
        <x:v>year-round</x:v>
      </x:c>
      <x:c r="I23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39">
      <x:c r="A2339" s="36" t="str">
        <x:v>caribbean</x:v>
      </x:c>
      <x:c r="B2339" s="30" t="str">
        <x:v>caribbean-broad-draft-1</x:v>
      </x:c>
      <x:c r="C2339" s="30" t="n">
        <x:v>47227</x:v>
      </x:c>
      <x:c r="D2339" s="32" t="str">
        <x:v>Horse-eye Jack</x:v>
      </x:c>
      <x:c r="E2339" s="32" t="str">
        <x:v>Caranx latus</x:v>
      </x:c>
      <x:c r="F2339" s="30" t="str">
        <x:v>common</x:v>
      </x:c>
      <x:c r="G2339" s="30" t="str">
        <x:v>standard</x:v>
      </x:c>
      <x:c r="H2339" s="30" t="str">
        <x:v>year-round</x:v>
      </x:c>
      <x:c r="I23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0">
      <x:c r="A2340" s="36" t="str">
        <x:v>caribbean</x:v>
      </x:c>
      <x:c r="B2340" s="30" t="str">
        <x:v>caribbean-broad-draft-1</x:v>
      </x:c>
      <x:c r="C2340" s="30" t="n">
        <x:v>1316786</x:v>
      </x:c>
      <x:c r="D2340" s="32" t="str">
        <x:v>Smallmouth Grunt</x:v>
      </x:c>
      <x:c r="E2340" s="32" t="str">
        <x:v>Brachygenys chrysargyrea</x:v>
      </x:c>
      <x:c r="F2340" s="30" t="str">
        <x:v>common</x:v>
      </x:c>
      <x:c r="G2340" s="30" t="str">
        <x:v>standard</x:v>
      </x:c>
      <x:c r="H2340" s="30" t="str">
        <x:v>year-round</x:v>
      </x:c>
      <x:c r="I23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1">
      <x:c r="A2341" s="36" t="str">
        <x:v>caribbean</x:v>
      </x:c>
      <x:c r="B2341" s="30" t="str">
        <x:v>caribbean-broad-draft-1</x:v>
      </x:c>
      <x:c r="C2341" s="30" t="n">
        <x:v>47235</x:v>
      </x:c>
      <x:c r="D2341" s="32" t="str">
        <x:v>Queen Angelfish</x:v>
      </x:c>
      <x:c r="E2341" s="32" t="str">
        <x:v>Holacanthus ciliaris</x:v>
      </x:c>
      <x:c r="F2341" s="30" t="str">
        <x:v>common</x:v>
      </x:c>
      <x:c r="G2341" s="30" t="str">
        <x:v>standard</x:v>
      </x:c>
      <x:c r="H2341" s="30" t="str">
        <x:v>year-round</x:v>
      </x:c>
      <x:c r="I23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2">
      <x:c r="A2342" s="36" t="str">
        <x:v>caribbean</x:v>
      </x:c>
      <x:c r="B2342" s="30" t="str">
        <x:v>caribbean-broad-draft-1</x:v>
      </x:c>
      <x:c r="C2342" s="30" t="n">
        <x:v>1316746</x:v>
      </x:c>
      <x:c r="D2342" s="32" t="str">
        <x:v>Mountain Mullet</x:v>
      </x:c>
      <x:c r="E2342" s="32" t="str">
        <x:v>Dajaus monticola</x:v>
      </x:c>
      <x:c r="F2342" s="30" t="str">
        <x:v>common</x:v>
      </x:c>
      <x:c r="G2342" s="30" t="str">
        <x:v>standard</x:v>
      </x:c>
      <x:c r="H2342" s="30" t="str">
        <x:v>year-round</x:v>
      </x:c>
      <x:c r="I23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3">
      <x:c r="A2343" s="36" t="str">
        <x:v>caribbean</x:v>
      </x:c>
      <x:c r="B2343" s="30" t="str">
        <x:v>caribbean-broad-draft-1</x:v>
      </x:c>
      <x:c r="C2343" s="30" t="n">
        <x:v>49427</x:v>
      </x:c>
      <x:c r="D2343" s="32" t="str">
        <x:v>Grey Angelfish</x:v>
      </x:c>
      <x:c r="E2343" s="32" t="str">
        <x:v>Pomacanthus arcuatus</x:v>
      </x:c>
      <x:c r="F2343" s="30" t="str">
        <x:v>common</x:v>
      </x:c>
      <x:c r="G2343" s="30" t="str">
        <x:v>standard</x:v>
      </x:c>
      <x:c r="H2343" s="30" t="str">
        <x:v>year-round</x:v>
      </x:c>
      <x:c r="I23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4">
      <x:c r="A2344" s="36" t="str">
        <x:v>caribbean</x:v>
      </x:c>
      <x:c r="B2344" s="30" t="str">
        <x:v>caribbean-broad-draft-1</x:v>
      </x:c>
      <x:c r="C2344" s="30" t="n">
        <x:v>96993</x:v>
      </x:c>
      <x:c r="D2344" s="32" t="str">
        <x:v>Coney</x:v>
      </x:c>
      <x:c r="E2344" s="32" t="str">
        <x:v>Cephalopholis fulva</x:v>
      </x:c>
      <x:c r="F2344" s="30" t="str">
        <x:v>common</x:v>
      </x:c>
      <x:c r="G2344" s="30" t="str">
        <x:v>standard</x:v>
      </x:c>
      <x:c r="H2344" s="30" t="str">
        <x:v>year-round</x:v>
      </x:c>
      <x:c r="I23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5">
      <x:c r="A2345" s="36" t="str">
        <x:v>caribbean</x:v>
      </x:c>
      <x:c r="B2345" s="30" t="str">
        <x:v>caribbean-broad-draft-1</x:v>
      </x:c>
      <x:c r="C2345" s="30" t="n">
        <x:v>1315932</x:v>
      </x:c>
      <x:c r="D2345" s="32" t="str">
        <x:v>Brown Chromis</x:v>
      </x:c>
      <x:c r="E2345" s="32" t="str">
        <x:v>Azurina multilineata</x:v>
      </x:c>
      <x:c r="F2345" s="30" t="str">
        <x:v>common</x:v>
      </x:c>
      <x:c r="G2345" s="30" t="str">
        <x:v>standard</x:v>
      </x:c>
      <x:c r="H2345" s="30" t="str">
        <x:v>year-round</x:v>
      </x:c>
      <x:c r="I23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6">
      <x:c r="A2346" s="36" t="str">
        <x:v>caribbean</x:v>
      </x:c>
      <x:c r="B2346" s="30" t="str">
        <x:v>caribbean-broad-draft-1</x:v>
      </x:c>
      <x:c r="C2346" s="30" t="n">
        <x:v>131385</x:v>
      </x:c>
      <x:c r="D2346" s="32" t="str">
        <x:v>Spotted Goatfish</x:v>
      </x:c>
      <x:c r="E2346" s="32" t="str">
        <x:v>Pseudupeneus maculatus</x:v>
      </x:c>
      <x:c r="F2346" s="30" t="str">
        <x:v>common</x:v>
      </x:c>
      <x:c r="G2346" s="30" t="str">
        <x:v>standard</x:v>
      </x:c>
      <x:c r="H2346" s="30" t="str">
        <x:v>year-round</x:v>
      </x:c>
      <x:c r="I23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7">
      <x:c r="A2347" s="36" t="str">
        <x:v>caribbean</x:v>
      </x:c>
      <x:c r="B2347" s="30" t="str">
        <x:v>caribbean-broad-draft-1</x:v>
      </x:c>
      <x:c r="C2347" s="30" t="n">
        <x:v>49624</x:v>
      </x:c>
      <x:c r="D2347" s="32" t="str">
        <x:v>Blackbar Soldierfish</x:v>
      </x:c>
      <x:c r="E2347" s="32" t="str">
        <x:v>Myripristis jacobus</x:v>
      </x:c>
      <x:c r="F2347" s="30" t="str">
        <x:v>common</x:v>
      </x:c>
      <x:c r="G2347" s="30" t="str">
        <x:v>standard</x:v>
      </x:c>
      <x:c r="H2347" s="30" t="str">
        <x:v>year-round</x:v>
      </x:c>
      <x:c r="I23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8">
      <x:c r="A2348" s="36" t="str">
        <x:v>caribbean</x:v>
      </x:c>
      <x:c r="B2348" s="30" t="str">
        <x:v>caribbean-broad-draft-1</x:v>
      </x:c>
      <x:c r="C2348" s="30" t="n">
        <x:v>49304</x:v>
      </x:c>
      <x:c r="D2348" s="32" t="str">
        <x:v>Threespot Damselfish</x:v>
      </x:c>
      <x:c r="E2348" s="32" t="str">
        <x:v>Stegastes planifrons</x:v>
      </x:c>
      <x:c r="F2348" s="30" t="str">
        <x:v>common</x:v>
      </x:c>
      <x:c r="G2348" s="30" t="str">
        <x:v>standard</x:v>
      </x:c>
      <x:c r="H2348" s="30" t="str">
        <x:v>year-round</x:v>
      </x:c>
      <x:c r="I23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49">
      <x:c r="A2349" s="36" t="str">
        <x:v>caribbean</x:v>
      </x:c>
      <x:c r="B2349" s="30" t="str">
        <x:v>caribbean-broad-draft-1</x:v>
      </x:c>
      <x:c r="C2349" s="30" t="n">
        <x:v>128185</x:v>
      </x:c>
      <x:c r="D2349" s="32" t="str">
        <x:v>Longfin Damselfish</x:v>
      </x:c>
      <x:c r="E2349" s="32" t="str">
        <x:v>Stegastes diencaeus</x:v>
      </x:c>
      <x:c r="F2349" s="30" t="str">
        <x:v>common</x:v>
      </x:c>
      <x:c r="G2349" s="30" t="str">
        <x:v>standard</x:v>
      </x:c>
      <x:c r="H2349" s="30" t="str">
        <x:v>year-round</x:v>
      </x:c>
      <x:c r="I23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0">
      <x:c r="A2350" s="36" t="str">
        <x:v>caribbean</x:v>
      </x:c>
      <x:c r="B2350" s="30" t="str">
        <x:v>caribbean-broad-draft-1</x:v>
      </x:c>
      <x:c r="C2350" s="30" t="n">
        <x:v>128183</x:v>
      </x:c>
      <x:c r="D2350" s="32" t="str">
        <x:v>Bicolor Damselfish</x:v>
      </x:c>
      <x:c r="E2350" s="32" t="str">
        <x:v>Stegastes partitus</x:v>
      </x:c>
      <x:c r="F2350" s="30" t="str">
        <x:v>common</x:v>
      </x:c>
      <x:c r="G2350" s="30" t="str">
        <x:v>standard</x:v>
      </x:c>
      <x:c r="H2350" s="30" t="str">
        <x:v>year-round</x:v>
      </x:c>
      <x:c r="I23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1">
      <x:c r="A2351" s="36" t="str">
        <x:v>caribbean</x:v>
      </x:c>
      <x:c r="B2351" s="30" t="str">
        <x:v>caribbean-broad-draft-1</x:v>
      </x:c>
      <x:c r="C2351" s="30" t="n">
        <x:v>49244</x:v>
      </x:c>
      <x:c r="D2351" s="32" t="str">
        <x:v>Spotted Scorpionfish</x:v>
      </x:c>
      <x:c r="E2351" s="32" t="str">
        <x:v>Scorpaena plumieri</x:v>
      </x:c>
      <x:c r="F2351" s="30" t="str">
        <x:v>common</x:v>
      </x:c>
      <x:c r="G2351" s="30" t="str">
        <x:v>standard</x:v>
      </x:c>
      <x:c r="H2351" s="30" t="str">
        <x:v>year-round</x:v>
      </x:c>
      <x:c r="I23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2">
      <x:c r="A2352" s="36" t="str">
        <x:v>caribbean</x:v>
      </x:c>
      <x:c r="B2352" s="30" t="str">
        <x:v>caribbean-broad-draft-1</x:v>
      </x:c>
      <x:c r="C2352" s="30" t="n">
        <x:v>49269</x:v>
      </x:c>
      <x:c r="D2352" s="32" t="str">
        <x:v>Longspined Porcupinefish</x:v>
      </x:c>
      <x:c r="E2352" s="32" t="str">
        <x:v>Diodon holocanthus</x:v>
      </x:c>
      <x:c r="F2352" s="30" t="str">
        <x:v>common</x:v>
      </x:c>
      <x:c r="G2352" s="30" t="str">
        <x:v>standard</x:v>
      </x:c>
      <x:c r="H2352" s="30" t="str">
        <x:v>year-round</x:v>
      </x:c>
      <x:c r="I23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3">
      <x:c r="A2353" s="36" t="str">
        <x:v>caribbean</x:v>
      </x:c>
      <x:c r="B2353" s="30" t="str">
        <x:v>caribbean-broad-draft-1</x:v>
      </x:c>
      <x:c r="C2353" s="30" t="n">
        <x:v>104853</x:v>
      </x:c>
      <x:c r="D2353" s="32" t="str">
        <x:v>Mutton Snapper</x:v>
      </x:c>
      <x:c r="E2353" s="32" t="str">
        <x:v>Lutjanus analis</x:v>
      </x:c>
      <x:c r="F2353" s="30" t="str">
        <x:v>common</x:v>
      </x:c>
      <x:c r="G2353" s="30" t="str">
        <x:v>standard</x:v>
      </x:c>
      <x:c r="H2353" s="30" t="str">
        <x:v>year-round</x:v>
      </x:c>
      <x:c r="I23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4">
      <x:c r="A2354" s="36" t="str">
        <x:v>caribbean</x:v>
      </x:c>
      <x:c r="B2354" s="30" t="str">
        <x:v>caribbean-broad-draft-1</x:v>
      </x:c>
      <x:c r="C2354" s="30" t="n">
        <x:v>131530</x:v>
      </x:c>
      <x:c r="D2354" s="32" t="str">
        <x:v>Lane Snapper</x:v>
      </x:c>
      <x:c r="E2354" s="32" t="str">
        <x:v>Lutjanus synagris</x:v>
      </x:c>
      <x:c r="F2354" s="30" t="str">
        <x:v>common</x:v>
      </x:c>
      <x:c r="G2354" s="30" t="str">
        <x:v>standard</x:v>
      </x:c>
      <x:c r="H2354" s="30" t="str">
        <x:v>year-round</x:v>
      </x:c>
      <x:c r="I23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5">
      <x:c r="A2355" s="36" t="str">
        <x:v>caribbean</x:v>
      </x:c>
      <x:c r="B2355" s="30" t="str">
        <x:v>caribbean-broad-draft-1</x:v>
      </x:c>
      <x:c r="C2355" s="30" t="n">
        <x:v>114269</x:v>
      </x:c>
      <x:c r="D2355" s="32" t="str">
        <x:v>Palometa</x:v>
      </x:c>
      <x:c r="E2355" s="32" t="str">
        <x:v>Trachinotus goodei</x:v>
      </x:c>
      <x:c r="F2355" s="30" t="str">
        <x:v>common</x:v>
      </x:c>
      <x:c r="G2355" s="30" t="str">
        <x:v>standard</x:v>
      </x:c>
      <x:c r="H2355" s="30" t="str">
        <x:v>year-round</x:v>
      </x:c>
      <x:c r="I23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6">
      <x:c r="A2356" s="36" t="str">
        <x:v>caribbean</x:v>
      </x:c>
      <x:c r="B2356" s="30" t="str">
        <x:v>caribbean-broad-draft-1</x:v>
      </x:c>
      <x:c r="C2356" s="30" t="n">
        <x:v>192654</x:v>
      </x:c>
      <x:c r="D2356" s="32" t="str">
        <x:v>Spinyhead Blenny</x:v>
      </x:c>
      <x:c r="E2356" s="32" t="str">
        <x:v>Acanthemblemaria spinosa</x:v>
      </x:c>
      <x:c r="F2356" s="30" t="str">
        <x:v>common</x:v>
      </x:c>
      <x:c r="G2356" s="30" t="str">
        <x:v>standard</x:v>
      </x:c>
      <x:c r="H2356" s="30" t="str">
        <x:v>year-round</x:v>
      </x:c>
      <x:c r="I23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7">
      <x:c r="A2357" s="36" t="str">
        <x:v>caribbean</x:v>
      </x:c>
      <x:c r="B2357" s="30" t="str">
        <x:v>caribbean-broad-draft-1</x:v>
      </x:c>
      <x:c r="C2357" s="30" t="n">
        <x:v>49950</x:v>
      </x:c>
      <x:c r="D2357" s="32" t="str">
        <x:v>Tomtate</x:v>
      </x:c>
      <x:c r="E2357" s="32" t="str">
        <x:v>Haemulon aurolineatum</x:v>
      </x:c>
      <x:c r="F2357" s="30" t="str">
        <x:v>common</x:v>
      </x:c>
      <x:c r="G2357" s="30" t="str">
        <x:v>standard</x:v>
      </x:c>
      <x:c r="H2357" s="30" t="str">
        <x:v>year-round</x:v>
      </x:c>
      <x:c r="I23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8">
      <x:c r="A2358" s="36" t="str">
        <x:v>caribbean</x:v>
      </x:c>
      <x:c r="B2358" s="30" t="str">
        <x:v>caribbean-broad-draft-1</x:v>
      </x:c>
      <x:c r="C2358" s="30" t="n">
        <x:v>130053</x:v>
      </x:c>
      <x:c r="D2358" s="32" t="str">
        <x:v>Caribbean Redlip Blenny</x:v>
      </x:c>
      <x:c r="E2358" s="32" t="str">
        <x:v>Ophioblennius macclurei</x:v>
      </x:c>
      <x:c r="F2358" s="30" t="str">
        <x:v>common</x:v>
      </x:c>
      <x:c r="G2358" s="30" t="str">
        <x:v>standard</x:v>
      </x:c>
      <x:c r="H2358" s="30" t="str">
        <x:v>year-round</x:v>
      </x:c>
      <x:c r="I23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59">
      <x:c r="A2359" s="36" t="str">
        <x:v>caribbean</x:v>
      </x:c>
      <x:c r="B2359" s="30" t="str">
        <x:v>caribbean-broad-draft-1</x:v>
      </x:c>
      <x:c r="C2359" s="30" t="n">
        <x:v>49275</x:v>
      </x:c>
      <x:c r="D2359" s="32" t="str">
        <x:v>Orangespotted Filefish</x:v>
      </x:c>
      <x:c r="E2359" s="32" t="str">
        <x:v>Cantherhines pullus</x:v>
      </x:c>
      <x:c r="F2359" s="30" t="str">
        <x:v>common</x:v>
      </x:c>
      <x:c r="G2359" s="30" t="str">
        <x:v>standard</x:v>
      </x:c>
      <x:c r="H2359" s="30" t="str">
        <x:v>year-round</x:v>
      </x:c>
      <x:c r="I23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0">
      <x:c r="A2360" s="36" t="str">
        <x:v>caribbean</x:v>
      </x:c>
      <x:c r="B2360" s="30" t="str">
        <x:v>caribbean-broad-draft-1</x:v>
      </x:c>
      <x:c r="C2360" s="30" t="n">
        <x:v>317382</x:v>
      </x:c>
      <x:c r="D2360" s="32" t="str">
        <x:v>Checkered Puffer</x:v>
      </x:c>
      <x:c r="E2360" s="32" t="str">
        <x:v>Sphoeroides testudineus</x:v>
      </x:c>
      <x:c r="F2360" s="30" t="str">
        <x:v>common</x:v>
      </x:c>
      <x:c r="G2360" s="30" t="str">
        <x:v>standard</x:v>
      </x:c>
      <x:c r="H2360" s="30" t="str">
        <x:v>year-round</x:v>
      </x:c>
      <x:c r="I23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1">
      <x:c r="A2361" s="36" t="str">
        <x:v>caribbean</x:v>
      </x:c>
      <x:c r="B2361" s="30" t="str">
        <x:v>caribbean-broad-draft-1</x:v>
      </x:c>
      <x:c r="C2361" s="30" t="n">
        <x:v>100104</x:v>
      </x:c>
      <x:c r="D2361" s="32" t="str">
        <x:v>Red Hind</x:v>
      </x:c>
      <x:c r="E2361" s="32" t="str">
        <x:v>Epinephelus guttatus</x:v>
      </x:c>
      <x:c r="F2361" s="30" t="str">
        <x:v>common</x:v>
      </x:c>
      <x:c r="G2361" s="30" t="str">
        <x:v>standard</x:v>
      </x:c>
      <x:c r="H2361" s="30" t="str">
        <x:v>year-round</x:v>
      </x:c>
      <x:c r="I23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2">
      <x:c r="A2362" s="36" t="str">
        <x:v>caribbean</x:v>
      </x:c>
      <x:c r="B2362" s="30" t="str">
        <x:v>caribbean-broad-draft-1</x:v>
      </x:c>
      <x:c r="C2362" s="30" t="n">
        <x:v>62606</x:v>
      </x:c>
      <x:c r="D2362" s="32" t="str">
        <x:v>Saddled Blenny</x:v>
      </x:c>
      <x:c r="E2362" s="32" t="str">
        <x:v>Malacoctenus triangulatus</x:v>
      </x:c>
      <x:c r="F2362" s="30" t="str">
        <x:v>common</x:v>
      </x:c>
      <x:c r="G2362" s="30" t="str">
        <x:v>standard</x:v>
      </x:c>
      <x:c r="H2362" s="30" t="str">
        <x:v>year-round</x:v>
      </x:c>
      <x:c r="I23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3">
      <x:c r="A2363" s="36" t="str">
        <x:v>caribbean</x:v>
      </x:c>
      <x:c r="B2363" s="30" t="str">
        <x:v>caribbean-broad-draft-1</x:v>
      </x:c>
      <x:c r="C2363" s="30" t="n">
        <x:v>49929</x:v>
      </x:c>
      <x:c r="D2363" s="32" t="str">
        <x:v>Redtail Parrotfish</x:v>
      </x:c>
      <x:c r="E2363" s="32" t="str">
        <x:v>Sparisoma chrysopterum</x:v>
      </x:c>
      <x:c r="F2363" s="30" t="str">
        <x:v>common</x:v>
      </x:c>
      <x:c r="G2363" s="30" t="str">
        <x:v>standard</x:v>
      </x:c>
      <x:c r="H2363" s="30" t="str">
        <x:v>year-round</x:v>
      </x:c>
      <x:c r="I23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4">
      <x:c r="A2364" s="36" t="str">
        <x:v>caribbean</x:v>
      </x:c>
      <x:c r="B2364" s="30" t="str">
        <x:v>caribbean-broad-draft-1</x:v>
      </x:c>
      <x:c r="C2364" s="30" t="n">
        <x:v>49947</x:v>
      </x:c>
      <x:c r="D2364" s="32" t="str">
        <x:v>Porkfish</x:v>
      </x:c>
      <x:c r="E2364" s="32" t="str">
        <x:v>Anisotremus virginicus</x:v>
      </x:c>
      <x:c r="F2364" s="30" t="str">
        <x:v>common</x:v>
      </x:c>
      <x:c r="G2364" s="30" t="str">
        <x:v>standard</x:v>
      </x:c>
      <x:c r="H2364" s="30" t="str">
        <x:v>year-round</x:v>
      </x:c>
      <x:c r="I23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5">
      <x:c r="A2365" s="36" t="str">
        <x:v>caribbean</x:v>
      </x:c>
      <x:c r="B2365" s="30" t="str">
        <x:v>caribbean-broad-draft-1</x:v>
      </x:c>
      <x:c r="C2365" s="30" t="n">
        <x:v>130054</x:v>
      </x:c>
      <x:c r="D2365" s="32" t="str">
        <x:v>Caesar Grunt</x:v>
      </x:c>
      <x:c r="E2365" s="32" t="str">
        <x:v>Haemulon carbonarium</x:v>
      </x:c>
      <x:c r="F2365" s="30" t="str">
        <x:v>common</x:v>
      </x:c>
      <x:c r="G2365" s="30" t="str">
        <x:v>standard</x:v>
      </x:c>
      <x:c r="H2365" s="30" t="str">
        <x:v>year-round</x:v>
      </x:c>
      <x:c r="I23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6">
      <x:c r="A2366" s="36" t="str">
        <x:v>caribbean</x:v>
      </x:c>
      <x:c r="B2366" s="30" t="str">
        <x:v>caribbean-broad-draft-1</x:v>
      </x:c>
      <x:c r="C2366" s="30" t="n">
        <x:v>57338</x:v>
      </x:c>
      <x:c r="D2366" s="32" t="str">
        <x:v>Night Sergeant</x:v>
      </x:c>
      <x:c r="E2366" s="32" t="str">
        <x:v>Abudefduf taurus</x:v>
      </x:c>
      <x:c r="F2366" s="30" t="str">
        <x:v>common</x:v>
      </x:c>
      <x:c r="G2366" s="30" t="str">
        <x:v>standard</x:v>
      </x:c>
      <x:c r="H2366" s="30" t="str">
        <x:v>year-round</x:v>
      </x:c>
      <x:c r="I23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7">
      <x:c r="A2367" s="36" t="str">
        <x:v>caribbean</x:v>
      </x:c>
      <x:c r="B2367" s="30" t="str">
        <x:v>caribbean-broad-draft-1</x:v>
      </x:c>
      <x:c r="C2367" s="30" t="n">
        <x:v>128186</x:v>
      </x:c>
      <x:c r="D2367" s="32" t="str">
        <x:v>Royal Gramma</x:v>
      </x:c>
      <x:c r="E2367" s="32" t="str">
        <x:v>Gramma loreto</x:v>
      </x:c>
      <x:c r="F2367" s="30" t="str">
        <x:v>common</x:v>
      </x:c>
      <x:c r="G2367" s="30" t="str">
        <x:v>standard</x:v>
      </x:c>
      <x:c r="H2367" s="30" t="str">
        <x:v>year-round</x:v>
      </x:c>
      <x:c r="I23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8">
      <x:c r="A2368" s="36" t="str">
        <x:v>caribbean</x:v>
      </x:c>
      <x:c r="B2368" s="30" t="str">
        <x:v>caribbean-broad-draft-1</x:v>
      </x:c>
      <x:c r="C2368" s="30" t="n">
        <x:v>49747</x:v>
      </x:c>
      <x:c r="D2368" s="32" t="str">
        <x:v>Harlequin Bass</x:v>
      </x:c>
      <x:c r="E2368" s="32" t="str">
        <x:v>Serranus tigrinus</x:v>
      </x:c>
      <x:c r="F2368" s="30" t="str">
        <x:v>common</x:v>
      </x:c>
      <x:c r="G2368" s="30" t="str">
        <x:v>standard</x:v>
      </x:c>
      <x:c r="H2368" s="30" t="str">
        <x:v>year-round</x:v>
      </x:c>
      <x:c r="I23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69">
      <x:c r="A2369" s="36" t="str">
        <x:v>caribbean</x:v>
      </x:c>
      <x:c r="B2369" s="30" t="str">
        <x:v>caribbean-broad-draft-1</x:v>
      </x:c>
      <x:c r="C2369" s="30" t="n">
        <x:v>1630712</x:v>
      </x:c>
      <x:c r="D2369" s="32" t="str">
        <x:v>Dusky Squirrelfish</x:v>
      </x:c>
      <x:c r="E2369" s="32" t="str">
        <x:v>Neoniphon vexillarius</x:v>
      </x:c>
      <x:c r="F2369" s="30" t="str">
        <x:v>common</x:v>
      </x:c>
      <x:c r="G2369" s="30" t="str">
        <x:v>standard</x:v>
      </x:c>
      <x:c r="H2369" s="30" t="str">
        <x:v>year-round</x:v>
      </x:c>
      <x:c r="I23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0">
      <x:c r="A2370" s="36" t="str">
        <x:v>caribbean</x:v>
      </x:c>
      <x:c r="B2370" s="30" t="str">
        <x:v>caribbean-broad-draft-1</x:v>
      </x:c>
      <x:c r="C2370" s="30" t="n">
        <x:v>317131</x:v>
      </x:c>
      <x:c r="D2370" s="32" t="str">
        <x:v>Sailor's Choice</x:v>
      </x:c>
      <x:c r="E2370" s="32" t="str">
        <x:v>Haemulon parra</x:v>
      </x:c>
      <x:c r="F2370" s="30" t="str">
        <x:v>common</x:v>
      </x:c>
      <x:c r="G2370" s="30" t="str">
        <x:v>standard</x:v>
      </x:c>
      <x:c r="H2370" s="30" t="str">
        <x:v>year-round</x:v>
      </x:c>
      <x:c r="I23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1">
      <x:c r="A2371" s="36" t="str">
        <x:v>caribbean</x:v>
      </x:c>
      <x:c r="B2371" s="30" t="str">
        <x:v>caribbean-broad-draft-1</x:v>
      </x:c>
      <x:c r="C2371" s="30" t="n">
        <x:v>102053</x:v>
      </x:c>
      <x:c r="D2371" s="32" t="str">
        <x:v>Clown Wrasse</x:v>
      </x:c>
      <x:c r="E2371" s="32" t="str">
        <x:v>Halichoeres maculipinna</x:v>
      </x:c>
      <x:c r="F2371" s="30" t="str">
        <x:v>common</x:v>
      </x:c>
      <x:c r="G2371" s="30" t="str">
        <x:v>standard</x:v>
      </x:c>
      <x:c r="H2371" s="30" t="str">
        <x:v>year-round</x:v>
      </x:c>
      <x:c r="I23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2">
      <x:c r="A2372" s="36" t="str">
        <x:v>caribbean</x:v>
      </x:c>
      <x:c r="B2372" s="30" t="str">
        <x:v>caribbean-broad-draft-1</x:v>
      </x:c>
      <x:c r="C2372" s="30" t="n">
        <x:v>63415</x:v>
      </x:c>
      <x:c r="D2372" s="32" t="str">
        <x:v>Glasseye</x:v>
      </x:c>
      <x:c r="E2372" s="32" t="str">
        <x:v>Heteropriacanthus cruentatus</x:v>
      </x:c>
      <x:c r="F2372" s="30" t="str">
        <x:v>common</x:v>
      </x:c>
      <x:c r="G2372" s="30" t="str">
        <x:v>standard</x:v>
      </x:c>
      <x:c r="H2372" s="30" t="str">
        <x:v>year-round</x:v>
      </x:c>
      <x:c r="I23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3">
      <x:c r="A2373" s="36" t="str">
        <x:v>caribbean</x:v>
      </x:c>
      <x:c r="B2373" s="30" t="str">
        <x:v>caribbean-broad-draft-1</x:v>
      </x:c>
      <x:c r="C2373" s="30" t="n">
        <x:v>95066</x:v>
      </x:c>
      <x:c r="D2373" s="32" t="str">
        <x:v>Queen Triggerfish</x:v>
      </x:c>
      <x:c r="E2373" s="32" t="str">
        <x:v>Balistes vetula</x:v>
      </x:c>
      <x:c r="F2373" s="30" t="str">
        <x:v>common</x:v>
      </x:c>
      <x:c r="G2373" s="30" t="str">
        <x:v>standard</x:v>
      </x:c>
      <x:c r="H2373" s="30" t="str">
        <x:v>year-round</x:v>
      </x:c>
      <x:c r="I237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4">
      <x:c r="A2374" s="36" t="str">
        <x:v>caribbean</x:v>
      </x:c>
      <x:c r="B2374" s="30" t="str">
        <x:v>caribbean-broad-draft-1</x:v>
      </x:c>
      <x:c r="C2374" s="30" t="n">
        <x:v>49273</x:v>
      </x:c>
      <x:c r="D2374" s="32" t="str">
        <x:v>Spotfin Butterflyfish</x:v>
      </x:c>
      <x:c r="E2374" s="32" t="str">
        <x:v>Chaetodon ocellatus</x:v>
      </x:c>
      <x:c r="F2374" s="30" t="str">
        <x:v>common</x:v>
      </x:c>
      <x:c r="G2374" s="30" t="str">
        <x:v>standard</x:v>
      </x:c>
      <x:c r="H2374" s="30" t="str">
        <x:v>year-round</x:v>
      </x:c>
      <x:c r="I23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5">
      <x:c r="A2375" s="36" t="str">
        <x:v>caribbean</x:v>
      </x:c>
      <x:c r="B2375" s="30" t="str">
        <x:v>caribbean-broad-draft-1</x:v>
      </x:c>
      <x:c r="C2375" s="30" t="n">
        <x:v>153471</x:v>
      </x:c>
      <x:c r="D2375" s="32" t="str">
        <x:v>Chain Moray</x:v>
      </x:c>
      <x:c r="E2375" s="32" t="str">
        <x:v>Echidna catenata</x:v>
      </x:c>
      <x:c r="F2375" s="30" t="str">
        <x:v>common</x:v>
      </x:c>
      <x:c r="G2375" s="30" t="str">
        <x:v>standard</x:v>
      </x:c>
      <x:c r="H2375" s="30" t="str">
        <x:v>year-round</x:v>
      </x:c>
      <x:c r="I23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6">
      <x:c r="A2376" s="36" t="str">
        <x:v>caribbean</x:v>
      </x:c>
      <x:c r="B2376" s="30" t="str">
        <x:v>caribbean-broad-draft-1</x:v>
      </x:c>
      <x:c r="C2376" s="30" t="n">
        <x:v>96740</x:v>
      </x:c>
      <x:c r="D2376" s="32" t="str">
        <x:v>Blue Runner</x:v>
      </x:c>
      <x:c r="E2376" s="32" t="str">
        <x:v>Caranx crysos</x:v>
      </x:c>
      <x:c r="F2376" s="30" t="str">
        <x:v>common</x:v>
      </x:c>
      <x:c r="G2376" s="30" t="str">
        <x:v>standard</x:v>
      </x:c>
      <x:c r="H2376" s="30" t="str">
        <x:v>year-round</x:v>
      </x:c>
      <x:c r="I23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7">
      <x:c r="A2377" s="36" t="str">
        <x:v>caribbean</x:v>
      </x:c>
      <x:c r="B2377" s="30" t="str">
        <x:v>caribbean-broad-draft-1</x:v>
      </x:c>
      <x:c r="C2377" s="30" t="n">
        <x:v>179445</x:v>
      </x:c>
      <x:c r="D2377" s="32" t="str">
        <x:v>Permit</x:v>
      </x:c>
      <x:c r="E2377" s="32" t="str">
        <x:v>Trachinotus falcatus</x:v>
      </x:c>
      <x:c r="F2377" s="30" t="str">
        <x:v>common</x:v>
      </x:c>
      <x:c r="G2377" s="30" t="str">
        <x:v>standard</x:v>
      </x:c>
      <x:c r="H2377" s="30" t="str">
        <x:v>year-round</x:v>
      </x:c>
      <x:c r="I23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8">
      <x:c r="A2378" s="36" t="str">
        <x:v>caribbean</x:v>
      </x:c>
      <x:c r="B2378" s="30" t="str">
        <x:v>caribbean-broad-draft-1</x:v>
      </x:c>
      <x:c r="C2378" s="30" t="n">
        <x:v>48844</x:v>
      </x:c>
      <x:c r="D2378" s="32" t="str">
        <x:v>Sharksucker</x:v>
      </x:c>
      <x:c r="E2378" s="32" t="str">
        <x:v>Echeneis naucrates</x:v>
      </x:c>
      <x:c r="F2378" s="30" t="str">
        <x:v>common</x:v>
      </x:c>
      <x:c r="G2378" s="30" t="str">
        <x:v>standard</x:v>
      </x:c>
      <x:c r="H2378" s="30" t="str">
        <x:v>year-round</x:v>
      </x:c>
      <x:c r="I23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79">
      <x:c r="A2379" s="36" t="str">
        <x:v>caribbean</x:v>
      </x:c>
      <x:c r="B2379" s="30" t="str">
        <x:v>caribbean-broad-draft-1</x:v>
      </x:c>
      <x:c r="C2379" s="30" t="n">
        <x:v>130051</x:v>
      </x:c>
      <x:c r="D2379" s="32" t="str">
        <x:v>Barred Hamlet</x:v>
      </x:c>
      <x:c r="E2379" s="32" t="str">
        <x:v>Hypoplectrus puella</x:v>
      </x:c>
      <x:c r="F2379" s="30" t="str">
        <x:v>common</x:v>
      </x:c>
      <x:c r="G2379" s="30" t="str">
        <x:v>standard</x:v>
      </x:c>
      <x:c r="H2379" s="30" t="str">
        <x:v>year-round</x:v>
      </x:c>
      <x:c r="I23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0">
      <x:c r="A2380" s="36" t="str">
        <x:v>caribbean</x:v>
      </x:c>
      <x:c r="B2380" s="30" t="str">
        <x:v>caribbean-broad-draft-1</x:v>
      </x:c>
      <x:c r="C2380" s="30" t="n">
        <x:v>112166</x:v>
      </x:c>
      <x:c r="D2380" s="32" t="str">
        <x:v>Princess Parrotfish</x:v>
      </x:c>
      <x:c r="E2380" s="32" t="str">
        <x:v>Scarus taeniopterus</x:v>
      </x:c>
      <x:c r="F2380" s="30" t="str">
        <x:v>common</x:v>
      </x:c>
      <x:c r="G2380" s="30" t="str">
        <x:v>standard</x:v>
      </x:c>
      <x:c r="H2380" s="30" t="str">
        <x:v>year-round</x:v>
      </x:c>
      <x:c r="I23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1">
      <x:c r="A2381" s="36" t="str">
        <x:v>caribbean</x:v>
      </x:c>
      <x:c r="B2381" s="30" t="str">
        <x:v>caribbean-broad-draft-1</x:v>
      </x:c>
      <x:c r="C2381" s="30" t="n">
        <x:v>1316037</x:v>
      </x:c>
      <x:c r="D2381" s="32" t="str">
        <x:v>Spotted Drum</x:v>
      </x:c>
      <x:c r="E2381" s="32" t="str">
        <x:v>Eques punctatus</x:v>
      </x:c>
      <x:c r="F2381" s="30" t="str">
        <x:v>common</x:v>
      </x:c>
      <x:c r="G2381" s="30" t="str">
        <x:v>standard</x:v>
      </x:c>
      <x:c r="H2381" s="30" t="str">
        <x:v>year-round</x:v>
      </x:c>
      <x:c r="I23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2">
      <x:c r="A2382" s="36" t="str">
        <x:v>caribbean</x:v>
      </x:c>
      <x:c r="B2382" s="30" t="str">
        <x:v>caribbean-broad-draft-1</x:v>
      </x:c>
      <x:c r="C2382" s="30" t="n">
        <x:v>49495</x:v>
      </x:c>
      <x:c r="D2382" s="32" t="str">
        <x:v>Rock Beauty</x:v>
      </x:c>
      <x:c r="E2382" s="32" t="str">
        <x:v>Holacanthus tricolor</x:v>
      </x:c>
      <x:c r="F2382" s="30" t="str">
        <x:v>common</x:v>
      </x:c>
      <x:c r="G2382" s="30" t="str">
        <x:v>standard</x:v>
      </x:c>
      <x:c r="H2382" s="30" t="str">
        <x:v>year-round</x:v>
      </x:c>
      <x:c r="I23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3">
      <x:c r="A2383" s="36" t="str">
        <x:v>caribbean</x:v>
      </x:c>
      <x:c r="B2383" s="30" t="str">
        <x:v>caribbean-broad-draft-1</x:v>
      </x:c>
      <x:c r="C2383" s="30" t="n">
        <x:v>619700</x:v>
      </x:c>
      <x:c r="D2383" s="32" t="str">
        <x:v>Caribbean Cocoa Damselfish</x:v>
      </x:c>
      <x:c r="E2383" s="32" t="str">
        <x:v>Stegastes xanthurus</x:v>
      </x:c>
      <x:c r="F2383" s="30" t="str">
        <x:v>common</x:v>
      </x:c>
      <x:c r="G2383" s="30" t="str">
        <x:v>standard</x:v>
      </x:c>
      <x:c r="H2383" s="30" t="str">
        <x:v>year-round</x:v>
      </x:c>
      <x:c r="I23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4">
      <x:c r="A2384" s="36" t="str">
        <x:v>caribbean</x:v>
      </x:c>
      <x:c r="B2384" s="30" t="str">
        <x:v>caribbean-broad-draft-1</x:v>
      </x:c>
      <x:c r="C2384" s="30" t="n">
        <x:v>1316792</x:v>
      </x:c>
      <x:c r="D2384" s="32" t="str">
        <x:v>Yellow Jack</x:v>
      </x:c>
      <x:c r="E2384" s="32" t="str">
        <x:v>Caranx bartholomaei</x:v>
      </x:c>
      <x:c r="F2384" s="30" t="str">
        <x:v>common</x:v>
      </x:c>
      <x:c r="G2384" s="30" t="str">
        <x:v>standard</x:v>
      </x:c>
      <x:c r="H2384" s="30" t="str">
        <x:v>year-round</x:v>
      </x:c>
      <x:c r="I23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5">
      <x:c r="A2385" s="36" t="str">
        <x:v>caribbean</x:v>
      </x:c>
      <x:c r="B2385" s="30" t="str">
        <x:v>caribbean-broad-draft-1</x:v>
      </x:c>
      <x:c r="C2385" s="30" t="n">
        <x:v>52464</x:v>
      </x:c>
      <x:c r="D2385" s="32" t="str">
        <x:v>Black Triggerfish</x:v>
      </x:c>
      <x:c r="E2385" s="32" t="str">
        <x:v>Melichthys niger</x:v>
      </x:c>
      <x:c r="F2385" s="30" t="str">
        <x:v>common</x:v>
      </x:c>
      <x:c r="G2385" s="30" t="str">
        <x:v>standard</x:v>
      </x:c>
      <x:c r="H2385" s="30" t="str">
        <x:v>year-round</x:v>
      </x:c>
      <x:c r="I23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6">
      <x:c r="A2386" s="36" t="str">
        <x:v>caribbean</x:v>
      </x:c>
      <x:c r="B2386" s="30" t="str">
        <x:v>caribbean-broad-draft-1</x:v>
      </x:c>
      <x:c r="C2386" s="30" t="n">
        <x:v>131523</x:v>
      </x:c>
      <x:c r="D2386" s="32" t="str">
        <x:v>Bermuda Chub</x:v>
      </x:c>
      <x:c r="E2386" s="32" t="str">
        <x:v>Kyphosus sectatrix</x:v>
      </x:c>
      <x:c r="F2386" s="30" t="str">
        <x:v>common</x:v>
      </x:c>
      <x:c r="G2386" s="30" t="str">
        <x:v>standard</x:v>
      </x:c>
      <x:c r="H2386" s="30" t="str">
        <x:v>year-round</x:v>
      </x:c>
      <x:c r="I23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7">
      <x:c r="A2387" s="36" t="str">
        <x:v>caribbean</x:v>
      </x:c>
      <x:c r="B2387" s="30" t="str">
        <x:v>caribbean-broad-draft-1</x:v>
      </x:c>
      <x:c r="C2387" s="30" t="n">
        <x:v>49498</x:v>
      </x:c>
      <x:c r="D2387" s="32" t="str">
        <x:v>Scrawled Filefish</x:v>
      </x:c>
      <x:c r="E2387" s="32" t="str">
        <x:v>Aluterus scriptus</x:v>
      </x:c>
      <x:c r="F2387" s="30" t="str">
        <x:v>common</x:v>
      </x:c>
      <x:c r="G2387" s="30" t="str">
        <x:v>standard</x:v>
      </x:c>
      <x:c r="H2387" s="30" t="str">
        <x:v>year-round</x:v>
      </x:c>
      <x:c r="I23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8">
      <x:c r="A2388" s="36" t="str">
        <x:v>caribbean</x:v>
      </x:c>
      <x:c r="B2388" s="30" t="str">
        <x:v>caribbean-broad-draft-1</x:v>
      </x:c>
      <x:c r="C2388" s="30" t="n">
        <x:v>179572</x:v>
      </x:c>
      <x:c r="D2388" s="32" t="str">
        <x:v>Ballyhoo</x:v>
      </x:c>
      <x:c r="E2388" s="32" t="str">
        <x:v>Hemiramphus brasiliensis</x:v>
      </x:c>
      <x:c r="F2388" s="30" t="str">
        <x:v>common</x:v>
      </x:c>
      <x:c r="G2388" s="30" t="str">
        <x:v>standard</x:v>
      </x:c>
      <x:c r="H2388" s="30" t="str">
        <x:v>year-round</x:v>
      </x:c>
      <x:c r="I23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89">
      <x:c r="A2389" s="36" t="str">
        <x:v>caribbean</x:v>
      </x:c>
      <x:c r="B2389" s="30" t="str">
        <x:v>caribbean-broad-draft-1</x:v>
      </x:c>
      <x:c r="C2389" s="30" t="n">
        <x:v>1439789</x:v>
      </x:c>
      <x:c r="D2389" s="32" t="str">
        <x:v>Creole Wrasse</x:v>
      </x:c>
      <x:c r="E2389" s="32" t="str">
        <x:v>Bodianus parrae</x:v>
      </x:c>
      <x:c r="F2389" s="30" t="str">
        <x:v>common</x:v>
      </x:c>
      <x:c r="G2389" s="30" t="str">
        <x:v>standard</x:v>
      </x:c>
      <x:c r="H2389" s="30" t="str">
        <x:v>year-round</x:v>
      </x:c>
      <x:c r="I23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0">
      <x:c r="A2390" s="36" t="str">
        <x:v>caribbean</x:v>
      </x:c>
      <x:c r="B2390" s="30" t="str">
        <x:v>caribbean-broad-draft-1</x:v>
      </x:c>
      <x:c r="C2390" s="30" t="n">
        <x:v>129656</x:v>
      </x:c>
      <x:c r="D2390" s="32" t="str">
        <x:v>Whitespotted Filefish</x:v>
      </x:c>
      <x:c r="E2390" s="32" t="str">
        <x:v>Cantherhines macrocerus</x:v>
      </x:c>
      <x:c r="F2390" s="30" t="str">
        <x:v>common</x:v>
      </x:c>
      <x:c r="G2390" s="30" t="str">
        <x:v>standard</x:v>
      </x:c>
      <x:c r="H2390" s="30" t="str">
        <x:v>year-round</x:v>
      </x:c>
      <x:c r="I23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1">
      <x:c r="A2391" s="36" t="str">
        <x:v>caribbean</x:v>
      </x:c>
      <x:c r="B2391" s="30" t="str">
        <x:v>caribbean-broad-draft-1</x:v>
      </x:c>
      <x:c r="C2391" s="30" t="n">
        <x:v>49256</x:v>
      </x:c>
      <x:c r="D2391" s="32" t="str">
        <x:v>Goldentail Moray</x:v>
      </x:c>
      <x:c r="E2391" s="32" t="str">
        <x:v>Gymnothorax miliaris</x:v>
      </x:c>
      <x:c r="F2391" s="30" t="str">
        <x:v>common</x:v>
      </x:c>
      <x:c r="G2391" s="30" t="str">
        <x:v>standard</x:v>
      </x:c>
      <x:c r="H2391" s="30" t="str">
        <x:v>year-round</x:v>
      </x:c>
      <x:c r="I23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2">
      <x:c r="A2392" s="36" t="str">
        <x:v>caribbean</x:v>
      </x:c>
      <x:c r="B2392" s="30" t="str">
        <x:v>caribbean-broad-draft-1</x:v>
      </x:c>
      <x:c r="C2392" s="30" t="n">
        <x:v>128170</x:v>
      </x:c>
      <x:c r="D2392" s="32" t="str">
        <x:v>Sharknose Goby</x:v>
      </x:c>
      <x:c r="E2392" s="32" t="str">
        <x:v>Elacatinus evelynae</x:v>
      </x:c>
      <x:c r="F2392" s="30" t="str">
        <x:v>common</x:v>
      </x:c>
      <x:c r="G2392" s="30" t="str">
        <x:v>standard</x:v>
      </x:c>
      <x:c r="H2392" s="30" t="str">
        <x:v>year-round</x:v>
      </x:c>
      <x:c r="I23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3">
      <x:c r="A2393" s="36" t="str">
        <x:v>caribbean</x:v>
      </x:c>
      <x:c r="B2393" s="30" t="str">
        <x:v>caribbean-broad-draft-1</x:v>
      </x:c>
      <x:c r="C2393" s="30" t="n">
        <x:v>102074</x:v>
      </x:c>
      <x:c r="D2393" s="32" t="str">
        <x:v>Blackear Wrasse</x:v>
      </x:c>
      <x:c r="E2393" s="32" t="str">
        <x:v>Halichoeres poeyi</x:v>
      </x:c>
      <x:c r="F2393" s="30" t="str">
        <x:v>common</x:v>
      </x:c>
      <x:c r="G2393" s="30" t="str">
        <x:v>standard</x:v>
      </x:c>
      <x:c r="H2393" s="30" t="str">
        <x:v>year-round</x:v>
      </x:c>
      <x:c r="I23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4">
      <x:c r="A2394" s="36" t="str">
        <x:v>caribbean</x:v>
      </x:c>
      <x:c r="B2394" s="30" t="str">
        <x:v>caribbean-broad-draft-1</x:v>
      </x:c>
      <x:c r="C2394" s="30" t="n">
        <x:v>49248</x:v>
      </x:c>
      <x:c r="D2394" s="32" t="str">
        <x:v>Sharptail Eel</x:v>
      </x:c>
      <x:c r="E2394" s="32" t="str">
        <x:v>Myrichthys breviceps</x:v>
      </x:c>
      <x:c r="F2394" s="30" t="str">
        <x:v>common</x:v>
      </x:c>
      <x:c r="G2394" s="30" t="str">
        <x:v>standard</x:v>
      </x:c>
      <x:c r="H2394" s="30" t="str">
        <x:v>year-round</x:v>
      </x:c>
      <x:c r="I23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5">
      <x:c r="A2395" s="36" t="str">
        <x:v>caribbean</x:v>
      </x:c>
      <x:c r="B2395" s="30" t="str">
        <x:v>caribbean-broad-draft-1</x:v>
      </x:c>
      <x:c r="C2395" s="30" t="n">
        <x:v>120129</x:v>
      </x:c>
      <x:c r="D2395" s="32" t="str">
        <x:v>Spotted Trunkfish</x:v>
      </x:c>
      <x:c r="E2395" s="32" t="str">
        <x:v>Lactophrys bicaudalis</x:v>
      </x:c>
      <x:c r="F2395" s="30" t="str">
        <x:v>common</x:v>
      </x:c>
      <x:c r="G2395" s="30" t="str">
        <x:v>standard</x:v>
      </x:c>
      <x:c r="H2395" s="30" t="str">
        <x:v>year-round</x:v>
      </x:c>
      <x:c r="I23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6">
      <x:c r="A2396" s="36" t="str">
        <x:v>caribbean</x:v>
      </x:c>
      <x:c r="B2396" s="30" t="str">
        <x:v>caribbean-broad-draft-1</x:v>
      </x:c>
      <x:c r="C2396" s="30" t="n">
        <x:v>107889</x:v>
      </x:c>
      <x:c r="D2396" s="32" t="str">
        <x:v>Mozambique Tilapia</x:v>
      </x:c>
      <x:c r="E2396" s="32" t="str">
        <x:v>Oreochromis mossambicus</x:v>
      </x:c>
      <x:c r="F2396" s="30" t="str">
        <x:v>common</x:v>
      </x:c>
      <x:c r="G2396" s="30" t="str">
        <x:v>standard</x:v>
      </x:c>
      <x:c r="H2396" s="30" t="str">
        <x:v>year-round</x:v>
      </x:c>
      <x:c r="I23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7">
      <x:c r="A2397" s="36" t="str">
        <x:v>caribbean</x:v>
      </x:c>
      <x:c r="B2397" s="30" t="str">
        <x:v>caribbean-broad-draft-1</x:v>
      </x:c>
      <x:c r="C2397" s="30" t="n">
        <x:v>52293</x:v>
      </x:c>
      <x:c r="D2397" s="32" t="str">
        <x:v>Highhat</x:v>
      </x:c>
      <x:c r="E2397" s="32" t="str">
        <x:v>Pareques acuminatus</x:v>
      </x:c>
      <x:c r="F2397" s="30" t="str">
        <x:v>common</x:v>
      </x:c>
      <x:c r="G2397" s="30" t="str">
        <x:v>standard</x:v>
      </x:c>
      <x:c r="H2397" s="30" t="str">
        <x:v>year-round</x:v>
      </x:c>
      <x:c r="I23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8">
      <x:c r="A2398" s="36" t="str">
        <x:v>caribbean</x:v>
      </x:c>
      <x:c r="B2398" s="30" t="str">
        <x:v>caribbean-broad-draft-1</x:v>
      </x:c>
      <x:c r="C2398" s="30" t="n">
        <x:v>129567</x:v>
      </x:c>
      <x:c r="D2398" s="32" t="str">
        <x:v>Yellowhead Jawfish</x:v>
      </x:c>
      <x:c r="E2398" s="32" t="str">
        <x:v>Opistognathus aurifrons</x:v>
      </x:c>
      <x:c r="F2398" s="30" t="str">
        <x:v>common</x:v>
      </x:c>
      <x:c r="G2398" s="30" t="str">
        <x:v>standard</x:v>
      </x:c>
      <x:c r="H2398" s="30" t="str">
        <x:v>year-round</x:v>
      </x:c>
      <x:c r="I23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399">
      <x:c r="A2399" s="36" t="str">
        <x:v>caribbean</x:v>
      </x:c>
      <x:c r="B2399" s="30" t="str">
        <x:v>caribbean-broad-draft-1</x:v>
      </x:c>
      <x:c r="C2399" s="30" t="n">
        <x:v>102831</x:v>
      </x:c>
      <x:c r="D2399" s="32" t="str">
        <x:v>Longsnout Seahorse</x:v>
      </x:c>
      <x:c r="E2399" s="32" t="str">
        <x:v>Hippocampus reidi</x:v>
      </x:c>
      <x:c r="F2399" s="30" t="str">
        <x:v>common</x:v>
      </x:c>
      <x:c r="G2399" s="30" t="str">
        <x:v>standard</x:v>
      </x:c>
      <x:c r="H2399" s="30" t="str">
        <x:v>year-round</x:v>
      </x:c>
      <x:c r="I23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0">
      <x:c r="A2400" s="36" t="str">
        <x:v>caribbean</x:v>
      </x:c>
      <x:c r="B2400" s="30" t="str">
        <x:v>caribbean-broad-draft-1</x:v>
      </x:c>
      <x:c r="C2400" s="30" t="n">
        <x:v>180709</x:v>
      </x:c>
      <x:c r="D2400" s="32" t="str">
        <x:v>Indigo Hamlet</x:v>
      </x:c>
      <x:c r="E2400" s="32" t="str">
        <x:v>Hypoplectrus indigo</x:v>
      </x:c>
      <x:c r="F2400" s="30" t="str">
        <x:v>common</x:v>
      </x:c>
      <x:c r="G2400" s="30" t="str">
        <x:v>standard</x:v>
      </x:c>
      <x:c r="H2400" s="30" t="str">
        <x:v>year-round</x:v>
      </x:c>
      <x:c r="I24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1">
      <x:c r="A2401" s="36" t="str">
        <x:v>caribbean</x:v>
      </x:c>
      <x:c r="B2401" s="30" t="str">
        <x:v>caribbean-broad-draft-1</x:v>
      </x:c>
      <x:c r="C2401" s="30" t="n">
        <x:v>317134</x:v>
      </x:c>
      <x:c r="D2401" s="32" t="str">
        <x:v>Redear Herring</x:v>
      </x:c>
      <x:c r="E2401" s="32" t="str">
        <x:v>Harengula humeralis</x:v>
      </x:c>
      <x:c r="F2401" s="30" t="str">
        <x:v>uncommon</x:v>
      </x:c>
      <x:c r="G2401" s="30" t="str">
        <x:v>standard</x:v>
      </x:c>
      <x:c r="H2401" s="30" t="str">
        <x:v>year-round</x:v>
      </x:c>
      <x:c r="I24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2">
      <x:c r="A2402" s="36" t="str">
        <x:v>caribbean</x:v>
      </x:c>
      <x:c r="B2402" s="30" t="str">
        <x:v>caribbean-broad-draft-1</x:v>
      </x:c>
      <x:c r="C2402" s="30" t="n">
        <x:v>179551</x:v>
      </x:c>
      <x:c r="D2402" s="32" t="str">
        <x:v>Hairy Blenny</x:v>
      </x:c>
      <x:c r="E2402" s="32" t="str">
        <x:v>Labrisomus nuchipinnis</x:v>
      </x:c>
      <x:c r="F2402" s="30" t="str">
        <x:v>uncommon</x:v>
      </x:c>
      <x:c r="G2402" s="30" t="str">
        <x:v>standard</x:v>
      </x:c>
      <x:c r="H2402" s="30" t="str">
        <x:v>year-round</x:v>
      </x:c>
      <x:c r="I24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3">
      <x:c r="A2403" s="36" t="str">
        <x:v>caribbean</x:v>
      </x:c>
      <x:c r="B2403" s="30" t="str">
        <x:v>caribbean-broad-draft-1</x:v>
      </x:c>
      <x:c r="C2403" s="30" t="n">
        <x:v>129665</x:v>
      </x:c>
      <x:c r="D2403" s="32" t="str">
        <x:v>Sand Tilefish</x:v>
      </x:c>
      <x:c r="E2403" s="32" t="str">
        <x:v>Malacanthus plumieri</x:v>
      </x:c>
      <x:c r="F2403" s="30" t="str">
        <x:v>uncommon</x:v>
      </x:c>
      <x:c r="G2403" s="30" t="str">
        <x:v>standard</x:v>
      </x:c>
      <x:c r="H2403" s="30" t="str">
        <x:v>year-round</x:v>
      </x:c>
      <x:c r="I24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4">
      <x:c r="A2404" s="36" t="str">
        <x:v>caribbean</x:v>
      </x:c>
      <x:c r="B2404" s="30" t="str">
        <x:v>caribbean-broad-draft-1</x:v>
      </x:c>
      <x:c r="C2404" s="30" t="n">
        <x:v>49432</x:v>
      </x:c>
      <x:c r="D2404" s="32" t="str">
        <x:v>Hogfish</x:v>
      </x:c>
      <x:c r="E2404" s="32" t="str">
        <x:v>Lachnolaimus maximus</x:v>
      </x:c>
      <x:c r="F2404" s="30" t="str">
        <x:v>uncommon</x:v>
      </x:c>
      <x:c r="G2404" s="30" t="str">
        <x:v>standard</x:v>
      </x:c>
      <x:c r="H2404" s="30" t="str">
        <x:v>year-round</x:v>
      </x:c>
      <x:c r="I24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5">
      <x:c r="A2405" s="36" t="str">
        <x:v>caribbean</x:v>
      </x:c>
      <x:c r="B2405" s="30" t="str">
        <x:v>caribbean-broad-draft-1</x:v>
      </x:c>
      <x:c r="C2405" s="30" t="n">
        <x:v>1315642</x:v>
      </x:c>
      <x:c r="D2405" s="32" t="str">
        <x:v>Honeycomb Cowfish</x:v>
      </x:c>
      <x:c r="E2405" s="32" t="str">
        <x:v>Acanthostracion polygonium</x:v>
      </x:c>
      <x:c r="F2405" s="30" t="str">
        <x:v>uncommon</x:v>
      </x:c>
      <x:c r="G2405" s="30" t="str">
        <x:v>standard</x:v>
      </x:c>
      <x:c r="H2405" s="30" t="str">
        <x:v>year-round</x:v>
      </x:c>
      <x:c r="I24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6">
      <x:c r="A2406" s="36" t="str">
        <x:v>caribbean</x:v>
      </x:c>
      <x:c r="B2406" s="30" t="str">
        <x:v>caribbean-broad-draft-1</x:v>
      </x:c>
      <x:c r="C2406" s="30" t="n">
        <x:v>131500</x:v>
      </x:c>
      <x:c r="D2406" s="32" t="str">
        <x:v>Goldspot Goby</x:v>
      </x:c>
      <x:c r="E2406" s="32" t="str">
        <x:v>Gnatholepis thompsoni</x:v>
      </x:c>
      <x:c r="F2406" s="30" t="str">
        <x:v>uncommon</x:v>
      </x:c>
      <x:c r="G2406" s="30" t="str">
        <x:v>standard</x:v>
      </x:c>
      <x:c r="H2406" s="30" t="str">
        <x:v>year-round</x:v>
      </x:c>
      <x:c r="I24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7">
      <x:c r="A2407" s="36" t="str">
        <x:v>caribbean</x:v>
      </x:c>
      <x:c r="B2407" s="30" t="str">
        <x:v>caribbean-broad-draft-1</x:v>
      </x:c>
      <x:c r="C2407" s="30" t="n">
        <x:v>182608</x:v>
      </x:c>
      <x:c r="D2407" s="32" t="str">
        <x:v>Dog Snapper</x:v>
      </x:c>
      <x:c r="E2407" s="32" t="str">
        <x:v>Lutjanus jocu</x:v>
      </x:c>
      <x:c r="F2407" s="30" t="str">
        <x:v>uncommon</x:v>
      </x:c>
      <x:c r="G2407" s="30" t="str">
        <x:v>standard</x:v>
      </x:c>
      <x:c r="H2407" s="30" t="str">
        <x:v>year-round</x:v>
      </x:c>
      <x:c r="I24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8">
      <x:c r="A2408" s="36" t="str">
        <x:v>caribbean</x:v>
      </x:c>
      <x:c r="B2408" s="30" t="str">
        <x:v>caribbean-broad-draft-1</x:v>
      </x:c>
      <x:c r="C2408" s="30" t="n">
        <x:v>120125</x:v>
      </x:c>
      <x:c r="D2408" s="32" t="str">
        <x:v>Green Moray</x:v>
      </x:c>
      <x:c r="E2408" s="32" t="str">
        <x:v>Gymnothorax funebris</x:v>
      </x:c>
      <x:c r="F2408" s="30" t="str">
        <x:v>uncommon</x:v>
      </x:c>
      <x:c r="G2408" s="30" t="str">
        <x:v>standard</x:v>
      </x:c>
      <x:c r="H2408" s="30" t="str">
        <x:v>year-round</x:v>
      </x:c>
      <x:c r="I24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09">
      <x:c r="A2409" s="36" t="str">
        <x:v>caribbean</x:v>
      </x:c>
      <x:c r="B2409" s="30" t="str">
        <x:v>caribbean-broad-draft-1</x:v>
      </x:c>
      <x:c r="C2409" s="30" t="n">
        <x:v>130052</x:v>
      </x:c>
      <x:c r="D2409" s="32" t="str">
        <x:v>Butter Hamlet</x:v>
      </x:c>
      <x:c r="E2409" s="32" t="str">
        <x:v>Hypoplectrus unicolor</x:v>
      </x:c>
      <x:c r="F2409" s="30" t="str">
        <x:v>uncommon</x:v>
      </x:c>
      <x:c r="G2409" s="30" t="str">
        <x:v>standard</x:v>
      </x:c>
      <x:c r="H2409" s="30" t="str">
        <x:v>year-round</x:v>
      </x:c>
      <x:c r="I24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0">
      <x:c r="A2410" s="36" t="str">
        <x:v>caribbean</x:v>
      </x:c>
      <x:c r="B2410" s="30" t="str">
        <x:v>caribbean-broad-draft-1</x:v>
      </x:c>
      <x:c r="C2410" s="30" t="n">
        <x:v>173412</x:v>
      </x:c>
      <x:c r="D2410" s="32" t="str">
        <x:v>Guppy</x:v>
      </x:c>
      <x:c r="E2410" s="32" t="str">
        <x:v>Poecilia reticulata</x:v>
      </x:c>
      <x:c r="F2410" s="30" t="str">
        <x:v>uncommon</x:v>
      </x:c>
      <x:c r="G2410" s="30" t="str">
        <x:v>standard</x:v>
      </x:c>
      <x:c r="H2410" s="30" t="str">
        <x:v>year-round</x:v>
      </x:c>
      <x:c r="I24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1">
      <x:c r="A2411" s="36" t="str">
        <x:v>caribbean</x:v>
      </x:c>
      <x:c r="B2411" s="30" t="str">
        <x:v>caribbean-broad-draft-1</x:v>
      </x:c>
      <x:c r="C2411" s="30" t="n">
        <x:v>105114</x:v>
      </x:c>
      <x:c r="D2411" s="32" t="str">
        <x:v>Rosy Blenny</x:v>
      </x:c>
      <x:c r="E2411" s="32" t="str">
        <x:v>Malacoctenus macropus</x:v>
      </x:c>
      <x:c r="F2411" s="30" t="str">
        <x:v>uncommon</x:v>
      </x:c>
      <x:c r="G2411" s="30" t="str">
        <x:v>standard</x:v>
      </x:c>
      <x:c r="H2411" s="30" t="str">
        <x:v>year-round</x:v>
      </x:c>
      <x:c r="I24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2">
      <x:c r="A2412" s="36" t="str">
        <x:v>caribbean</x:v>
      </x:c>
      <x:c r="B2412" s="30" t="str">
        <x:v>caribbean-broad-draft-1</x:v>
      </x:c>
      <x:c r="C2412" s="30" t="n">
        <x:v>49300</x:v>
      </x:c>
      <x:c r="D2412" s="32" t="str">
        <x:v>Glassy Sweeper</x:v>
      </x:c>
      <x:c r="E2412" s="32" t="str">
        <x:v>Pempheris schomburgkii</x:v>
      </x:c>
      <x:c r="F2412" s="30" t="str">
        <x:v>uncommon</x:v>
      </x:c>
      <x:c r="G2412" s="30" t="str">
        <x:v>standard</x:v>
      </x:c>
      <x:c r="H2412" s="30" t="str">
        <x:v>year-round</x:v>
      </x:c>
      <x:c r="I24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3">
      <x:c r="A2413" s="36" t="str">
        <x:v>caribbean</x:v>
      </x:c>
      <x:c r="B2413" s="30" t="str">
        <x:v>caribbean-broad-draft-1</x:v>
      </x:c>
      <x:c r="C2413" s="30" t="n">
        <x:v>49265</x:v>
      </x:c>
      <x:c r="D2413" s="32" t="str">
        <x:v>Bandtail Puffer</x:v>
      </x:c>
      <x:c r="E2413" s="32" t="str">
        <x:v>Sphoeroides spengleri</x:v>
      </x:c>
      <x:c r="F2413" s="30" t="str">
        <x:v>uncommon</x:v>
      </x:c>
      <x:c r="G2413" s="30" t="str">
        <x:v>standard</x:v>
      </x:c>
      <x:c r="H2413" s="30" t="str">
        <x:v>year-round</x:v>
      </x:c>
      <x:c r="I24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4">
      <x:c r="A2414" s="36" t="str">
        <x:v>caribbean</x:v>
      </x:c>
      <x:c r="B2414" s="30" t="str">
        <x:v>caribbean-broad-draft-1</x:v>
      </x:c>
      <x:c r="C2414" s="30" t="n">
        <x:v>49925</x:v>
      </x:c>
      <x:c r="D2414" s="32" t="str">
        <x:v>Scrawled Cowfish</x:v>
      </x:c>
      <x:c r="E2414" s="32" t="str">
        <x:v>Acanthostracion quadricornis</x:v>
      </x:c>
      <x:c r="F2414" s="30" t="str">
        <x:v>uncommon</x:v>
      </x:c>
      <x:c r="G2414" s="30" t="str">
        <x:v>standard</x:v>
      </x:c>
      <x:c r="H2414" s="30" t="str">
        <x:v>year-round</x:v>
      </x:c>
      <x:c r="I24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5">
      <x:c r="A2415" s="36" t="str">
        <x:v>caribbean</x:v>
      </x:c>
      <x:c r="B2415" s="30" t="str">
        <x:v>caribbean-broad-draft-1</x:v>
      </x:c>
      <x:c r="C2415" s="30" t="n">
        <x:v>317206</x:v>
      </x:c>
      <x:c r="D2415" s="32" t="str">
        <x:v>Goldline Blenny</x:v>
      </x:c>
      <x:c r="E2415" s="32" t="str">
        <x:v>Malacoctenus aurolineatus</x:v>
      </x:c>
      <x:c r="F2415" s="30" t="str">
        <x:v>uncommon</x:v>
      </x:c>
      <x:c r="G2415" s="30" t="str">
        <x:v>standard</x:v>
      </x:c>
      <x:c r="H2415" s="30" t="str">
        <x:v>year-round</x:v>
      </x:c>
      <x:c r="I24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6">
      <x:c r="A2416" s="36" t="str">
        <x:v>caribbean</x:v>
      </x:c>
      <x:c r="B2416" s="30" t="str">
        <x:v>caribbean-broad-draft-1</x:v>
      </x:c>
      <x:c r="C2416" s="30" t="n">
        <x:v>179537</x:v>
      </x:c>
      <x:c r="D2416" s="32" t="str">
        <x:v>White Mullet</x:v>
      </x:c>
      <x:c r="E2416" s="32" t="str">
        <x:v>Mugil curema</x:v>
      </x:c>
      <x:c r="F2416" s="30" t="str">
        <x:v>uncommon</x:v>
      </x:c>
      <x:c r="G2416" s="30" t="str">
        <x:v>standard</x:v>
      </x:c>
      <x:c r="H2416" s="30" t="str">
        <x:v>year-round</x:v>
      </x:c>
      <x:c r="I24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7">
      <x:c r="A2417" s="36" t="str">
        <x:v>caribbean</x:v>
      </x:c>
      <x:c r="B2417" s="30" t="str">
        <x:v>caribbean-broad-draft-1</x:v>
      </x:c>
      <x:c r="C2417" s="30" t="n">
        <x:v>49617</x:v>
      </x:c>
      <x:c r="D2417" s="32" t="str">
        <x:v>Cero</x:v>
      </x:c>
      <x:c r="E2417" s="32" t="str">
        <x:v>Scomberomorus regalis</x:v>
      </x:c>
      <x:c r="F2417" s="30" t="str">
        <x:v>uncommon</x:v>
      </x:c>
      <x:c r="G2417" s="30" t="str">
        <x:v>standard</x:v>
      </x:c>
      <x:c r="H2417" s="30" t="str">
        <x:v>year-round</x:v>
      </x:c>
      <x:c r="I24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8">
      <x:c r="A2418" s="36" t="str">
        <x:v>caribbean</x:v>
      </x:c>
      <x:c r="B2418" s="30" t="str">
        <x:v>caribbean-broad-draft-1</x:v>
      </x:c>
      <x:c r="C2418" s="30" t="n">
        <x:v>47761</x:v>
      </x:c>
      <x:c r="D2418" s="32" t="str">
        <x:v>Black Grouper</x:v>
      </x:c>
      <x:c r="E2418" s="32" t="str">
        <x:v>Mycteroperca bonaci</x:v>
      </x:c>
      <x:c r="F2418" s="30" t="str">
        <x:v>uncommon</x:v>
      </x:c>
      <x:c r="G2418" s="30" t="str">
        <x:v>standard</x:v>
      </x:c>
      <x:c r="H2418" s="30" t="str">
        <x:v>year-round</x:v>
      </x:c>
      <x:c r="I24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19">
      <x:c r="A2419" s="36" t="str">
        <x:v>caribbean</x:v>
      </x:c>
      <x:c r="B2419" s="30" t="str">
        <x:v>caribbean-broad-draft-1</x:v>
      </x:c>
      <x:c r="C2419" s="30" t="n">
        <x:v>131402</x:v>
      </x:c>
      <x:c r="D2419" s="32" t="str">
        <x:v>Goldspotted Eel</x:v>
      </x:c>
      <x:c r="E2419" s="32" t="str">
        <x:v>Myrichthys ocellatus</x:v>
      </x:c>
      <x:c r="F2419" s="30" t="str">
        <x:v>uncommon</x:v>
      </x:c>
      <x:c r="G2419" s="30" t="str">
        <x:v>standard</x:v>
      </x:c>
      <x:c r="H2419" s="30" t="str">
        <x:v>year-round</x:v>
      </x:c>
      <x:c r="I24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0">
      <x:c r="A2420" s="36" t="str">
        <x:v>caribbean</x:v>
      </x:c>
      <x:c r="B2420" s="30" t="str">
        <x:v>caribbean-broad-draft-1</x:v>
      </x:c>
      <x:c r="C2420" s="30" t="n">
        <x:v>52166</x:v>
      </x:c>
      <x:c r="D2420" s="32" t="str">
        <x:v>Greater Soapfish</x:v>
      </x:c>
      <x:c r="E2420" s="32" t="str">
        <x:v>Rypticus saponaceus</x:v>
      </x:c>
      <x:c r="F2420" s="30" t="str">
        <x:v>uncommon</x:v>
      </x:c>
      <x:c r="G2420" s="30" t="str">
        <x:v>standard</x:v>
      </x:c>
      <x:c r="H2420" s="30" t="str">
        <x:v>year-round</x:v>
      </x:c>
      <x:c r="I24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1">
      <x:c r="A2421" s="36" t="str">
        <x:v>caribbean</x:v>
      </x:c>
      <x:c r="B2421" s="30" t="str">
        <x:v>caribbean-broad-draft-1</x:v>
      </x:c>
      <x:c r="C2421" s="30" t="n">
        <x:v>132531</x:v>
      </x:c>
      <x:c r="D2421" s="32" t="str">
        <x:v>Western Atlantic Seabream</x:v>
      </x:c>
      <x:c r="E2421" s="32" t="str">
        <x:v>Archosargus rhomboidalis</x:v>
      </x:c>
      <x:c r="F2421" s="30" t="str">
        <x:v>uncommon</x:v>
      </x:c>
      <x:c r="G2421" s="30" t="str">
        <x:v>standard</x:v>
      </x:c>
      <x:c r="H2421" s="30" t="str">
        <x:v>year-round</x:v>
      </x:c>
      <x:c r="I24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2">
      <x:c r="A2422" s="36" t="str">
        <x:v>caribbean</x:v>
      </x:c>
      <x:c r="B2422" s="30" t="str">
        <x:v>caribbean-broad-draft-1</x:v>
      </x:c>
      <x:c r="C2422" s="30" t="n">
        <x:v>128156</x:v>
      </x:c>
      <x:c r="D2422" s="32" t="str">
        <x:v>Longlure Frogfish</x:v>
      </x:c>
      <x:c r="E2422" s="32" t="str">
        <x:v>Antennarius multiocellatus</x:v>
      </x:c>
      <x:c r="F2422" s="30" t="str">
        <x:v>uncommon</x:v>
      </x:c>
      <x:c r="G2422" s="30" t="str">
        <x:v>standard</x:v>
      </x:c>
      <x:c r="H2422" s="30" t="str">
        <x:v>year-round</x:v>
      </x:c>
      <x:c r="I24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3">
      <x:c r="A2423" s="36" t="str">
        <x:v>caribbean</x:v>
      </x:c>
      <x:c r="B2423" s="30" t="str">
        <x:v>caribbean-broad-draft-1</x:v>
      </x:c>
      <x:c r="C2423" s="30" t="n">
        <x:v>210173</x:v>
      </x:c>
      <x:c r="D2423" s="32" t="str">
        <x:v>Brassy Drummer</x:v>
      </x:c>
      <x:c r="E2423" s="32" t="str">
        <x:v>Kyphosus vaigiensis</x:v>
      </x:c>
      <x:c r="F2423" s="30" t="str">
        <x:v>uncommon</x:v>
      </x:c>
      <x:c r="G2423" s="30" t="str">
        <x:v>standard</x:v>
      </x:c>
      <x:c r="H2423" s="30" t="str">
        <x:v>year-round</x:v>
      </x:c>
      <x:c r="I24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4">
      <x:c r="A2424" s="36" t="str">
        <x:v>caribbean</x:v>
      </x:c>
      <x:c r="B2424" s="30" t="str">
        <x:v>caribbean-broad-draft-1</x:v>
      </x:c>
      <x:c r="C2424" s="30" t="n">
        <x:v>131513</x:v>
      </x:c>
      <x:c r="D2424" s="32" t="str">
        <x:v>Buffalo Trunkfish</x:v>
      </x:c>
      <x:c r="E2424" s="32" t="str">
        <x:v>Lactophrys trigonus</x:v>
      </x:c>
      <x:c r="F2424" s="30" t="str">
        <x:v>uncommon</x:v>
      </x:c>
      <x:c r="G2424" s="30" t="str">
        <x:v>standard</x:v>
      </x:c>
      <x:c r="H2424" s="30" t="str">
        <x:v>year-round</x:v>
      </x:c>
      <x:c r="I24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5">
      <x:c r="A2425" s="36" t="str">
        <x:v>caribbean</x:v>
      </x:c>
      <x:c r="B2425" s="30" t="str">
        <x:v>caribbean-broad-draft-1</x:v>
      </x:c>
      <x:c r="C2425" s="30" t="n">
        <x:v>131484</x:v>
      </x:c>
      <x:c r="D2425" s="32" t="str">
        <x:v>Tobaccofish</x:v>
      </x:c>
      <x:c r="E2425" s="32" t="str">
        <x:v>Serranus tabacarius</x:v>
      </x:c>
      <x:c r="F2425" s="30" t="str">
        <x:v>uncommon</x:v>
      </x:c>
      <x:c r="G2425" s="30" t="str">
        <x:v>standard</x:v>
      </x:c>
      <x:c r="H2425" s="30" t="str">
        <x:v>year-round</x:v>
      </x:c>
      <x:c r="I24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6">
      <x:c r="A2426" s="36" t="str">
        <x:v>caribbean</x:v>
      </x:c>
      <x:c r="B2426" s="30" t="str">
        <x:v>caribbean-broad-draft-1</x:v>
      </x:c>
      <x:c r="C2426" s="30" t="n">
        <x:v>147118</x:v>
      </x:c>
      <x:c r="D2426" s="32" t="str">
        <x:v>Flagfin Mojarra</x:v>
      </x:c>
      <x:c r="E2426" s="32" t="str">
        <x:v>Eucinostomus melanopterus</x:v>
      </x:c>
      <x:c r="F2426" s="30" t="str">
        <x:v>uncommon</x:v>
      </x:c>
      <x:c r="G2426" s="30" t="str">
        <x:v>standard</x:v>
      </x:c>
      <x:c r="H2426" s="30" t="str">
        <x:v>year-round</x:v>
      </x:c>
      <x:c r="I24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7">
      <x:c r="A2427" s="36" t="str">
        <x:v>caribbean</x:v>
      </x:c>
      <x:c r="B2427" s="30" t="str">
        <x:v>caribbean-broad-draft-1</x:v>
      </x:c>
      <x:c r="C2427" s="30" t="n">
        <x:v>63718</x:v>
      </x:c>
      <x:c r="D2427" s="32" t="str">
        <x:v>Common Bonefish</x:v>
      </x:c>
      <x:c r="E2427" s="32" t="str">
        <x:v>Albula vulpes</x:v>
      </x:c>
      <x:c r="F2427" s="30" t="str">
        <x:v>uncommon</x:v>
      </x:c>
      <x:c r="G2427" s="30" t="str">
        <x:v>standard</x:v>
      </x:c>
      <x:c r="H2427" s="30" t="str">
        <x:v>year-round</x:v>
      </x:c>
      <x:c r="I24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8">
      <x:c r="A2428" s="36" t="str">
        <x:v>caribbean</x:v>
      </x:c>
      <x:c r="B2428" s="30" t="str">
        <x:v>caribbean-broad-draft-1</x:v>
      </x:c>
      <x:c r="C2428" s="30" t="n">
        <x:v>317208</x:v>
      </x:c>
      <x:c r="D2428" s="32" t="str">
        <x:v>Dusky Blenny</x:v>
      </x:c>
      <x:c r="E2428" s="32" t="str">
        <x:v>Malacoctenus gilli</x:v>
      </x:c>
      <x:c r="F2428" s="30" t="str">
        <x:v>uncommon</x:v>
      </x:c>
      <x:c r="G2428" s="30" t="str">
        <x:v>standard</x:v>
      </x:c>
      <x:c r="H2428" s="30" t="str">
        <x:v>year-round</x:v>
      </x:c>
      <x:c r="I24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29">
      <x:c r="A2429" s="36" t="str">
        <x:v>caribbean</x:v>
      </x:c>
      <x:c r="B2429" s="30" t="str">
        <x:v>caribbean-broad-draft-1</x:v>
      </x:c>
      <x:c r="C2429" s="30" t="n">
        <x:v>113308</x:v>
      </x:c>
      <x:c r="D2429" s="32" t="str">
        <x:v>Atlantic Needlefish</x:v>
      </x:c>
      <x:c r="E2429" s="32" t="str">
        <x:v>Strongylura marina</x:v>
      </x:c>
      <x:c r="F2429" s="30" t="str">
        <x:v>uncommon</x:v>
      </x:c>
      <x:c r="G2429" s="30" t="str">
        <x:v>standard</x:v>
      </x:c>
      <x:c r="H2429" s="30" t="str">
        <x:v>year-round</x:v>
      </x:c>
      <x:c r="I24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0">
      <x:c r="A2430" s="36" t="str">
        <x:v>caribbean</x:v>
      </x:c>
      <x:c r="B2430" s="30" t="str">
        <x:v>caribbean-broad-draft-1</x:v>
      </x:c>
      <x:c r="C2430" s="30" t="n">
        <x:v>131522</x:v>
      </x:c>
      <x:c r="D2430" s="32" t="str">
        <x:v>Redspotted Hawkfish</x:v>
      </x:c>
      <x:c r="E2430" s="32" t="str">
        <x:v>Amblycirrhitus pinos</x:v>
      </x:c>
      <x:c r="F2430" s="30" t="str">
        <x:v>uncommon</x:v>
      </x:c>
      <x:c r="G2430" s="30" t="str">
        <x:v>standard</x:v>
      </x:c>
      <x:c r="H2430" s="30" t="str">
        <x:v>year-round</x:v>
      </x:c>
      <x:c r="I24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1">
      <x:c r="A2431" s="36" t="str">
        <x:v>caribbean</x:v>
      </x:c>
      <x:c r="B2431" s="30" t="str">
        <x:v>caribbean-broad-draft-1</x:v>
      </x:c>
      <x:c r="C2431" s="30" t="n">
        <x:v>55016</x:v>
      </x:c>
      <x:c r="D2431" s="32" t="str">
        <x:v>Flying Gurnard</x:v>
      </x:c>
      <x:c r="E2431" s="32" t="str">
        <x:v>Dactylopterus volitans</x:v>
      </x:c>
      <x:c r="F2431" s="30" t="str">
        <x:v>uncommon</x:v>
      </x:c>
      <x:c r="G2431" s="30" t="str">
        <x:v>standard</x:v>
      </x:c>
      <x:c r="H2431" s="30" t="str">
        <x:v>year-round</x:v>
      </x:c>
      <x:c r="I24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2">
      <x:c r="A2432" s="36" t="str">
        <x:v>caribbean</x:v>
      </x:c>
      <x:c r="B2432" s="30" t="str">
        <x:v>caribbean-broad-draft-1</x:v>
      </x:c>
      <x:c r="C2432" s="30" t="n">
        <x:v>94800</x:v>
      </x:c>
      <x:c r="D2432" s="32" t="str">
        <x:v>Hardhead Silverside</x:v>
      </x:c>
      <x:c r="E2432" s="32" t="str">
        <x:v>Atherinomorus stipes</x:v>
      </x:c>
      <x:c r="F2432" s="30" t="str">
        <x:v>uncommon</x:v>
      </x:c>
      <x:c r="G2432" s="30" t="str">
        <x:v>standard</x:v>
      </x:c>
      <x:c r="H2432" s="30" t="str">
        <x:v>year-round</x:v>
      </x:c>
      <x:c r="I24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3">
      <x:c r="A2433" s="36" t="str">
        <x:v>caribbean</x:v>
      </x:c>
      <x:c r="B2433" s="30" t="str">
        <x:v>caribbean-broad-draft-1</x:v>
      </x:c>
      <x:c r="C2433" s="30" t="n">
        <x:v>49316</x:v>
      </x:c>
      <x:c r="D2433" s="32" t="str">
        <x:v>Atlantic Spadefish</x:v>
      </x:c>
      <x:c r="E2433" s="32" t="str">
        <x:v>Chaetodipterus faber</x:v>
      </x:c>
      <x:c r="F2433" s="30" t="str">
        <x:v>uncommon</x:v>
      </x:c>
      <x:c r="G2433" s="30" t="str">
        <x:v>standard</x:v>
      </x:c>
      <x:c r="H2433" s="30" t="str">
        <x:v>year-round</x:v>
      </x:c>
      <x:c r="I24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4">
      <x:c r="A2434" s="36" t="str">
        <x:v>caribbean</x:v>
      </x:c>
      <x:c r="B2434" s="30" t="str">
        <x:v>caribbean-broad-draft-1</x:v>
      </x:c>
      <x:c r="C2434" s="30" t="n">
        <x:v>52296</x:v>
      </x:c>
      <x:c r="D2434" s="32" t="str">
        <x:v>Black Margate</x:v>
      </x:c>
      <x:c r="E2434" s="32" t="str">
        <x:v>Anisotremus surinamensis</x:v>
      </x:c>
      <x:c r="F2434" s="30" t="str">
        <x:v>uncommon</x:v>
      </x:c>
      <x:c r="G2434" s="30" t="str">
        <x:v>standard</x:v>
      </x:c>
      <x:c r="H2434" s="30" t="str">
        <x:v>year-round</x:v>
      </x:c>
      <x:c r="I24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5">
      <x:c r="A2435" s="36" t="str">
        <x:v>caribbean</x:v>
      </x:c>
      <x:c r="B2435" s="30" t="str">
        <x:v>caribbean-broad-draft-1</x:v>
      </x:c>
      <x:c r="C2435" s="30" t="n">
        <x:v>131526</x:v>
      </x:c>
      <x:c r="D2435" s="32" t="str">
        <x:v>Oceanic Triggerfish</x:v>
      </x:c>
      <x:c r="E2435" s="32" t="str">
        <x:v>Canthidermis sufflamen</x:v>
      </x:c>
      <x:c r="F2435" s="30" t="str">
        <x:v>uncommon</x:v>
      </x:c>
      <x:c r="G2435" s="30" t="str">
        <x:v>standard</x:v>
      </x:c>
      <x:c r="H2435" s="30" t="str">
        <x:v>year-round</x:v>
      </x:c>
      <x:c r="I24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6">
      <x:c r="A2436" s="36" t="str">
        <x:v>caribbean</x:v>
      </x:c>
      <x:c r="B2436" s="30" t="str">
        <x:v>caribbean-broad-draft-1</x:v>
      </x:c>
      <x:c r="C2436" s="30" t="n">
        <x:v>131514</x:v>
      </x:c>
      <x:c r="D2436" s="32" t="str">
        <x:v>Slender Filefish</x:v>
      </x:c>
      <x:c r="E2436" s="32" t="str">
        <x:v>Monacanthus tuckeri</x:v>
      </x:c>
      <x:c r="F2436" s="30" t="str">
        <x:v>uncommon</x:v>
      </x:c>
      <x:c r="G2436" s="30" t="str">
        <x:v>standard</x:v>
      </x:c>
      <x:c r="H2436" s="30" t="str">
        <x:v>year-round</x:v>
      </x:c>
      <x:c r="I24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7">
      <x:c r="A2437" s="36" t="str">
        <x:v>caribbean</x:v>
      </x:c>
      <x:c r="B2437" s="30" t="str">
        <x:v>caribbean-broad-draft-1</x:v>
      </x:c>
      <x:c r="C2437" s="30" t="n">
        <x:v>112863</x:v>
      </x:c>
      <x:c r="D2437" s="32" t="str">
        <x:v>Bucktooth Parrotfish</x:v>
      </x:c>
      <x:c r="E2437" s="32" t="str">
        <x:v>Sparisoma radians</x:v>
      </x:c>
      <x:c r="F2437" s="30" t="str">
        <x:v>uncommon</x:v>
      </x:c>
      <x:c r="G2437" s="30" t="str">
        <x:v>standard</x:v>
      </x:c>
      <x:c r="H2437" s="30" t="str">
        <x:v>year-round</x:v>
      </x:c>
      <x:c r="I24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8">
      <x:c r="A2438" s="36" t="str">
        <x:v>caribbean</x:v>
      </x:c>
      <x:c r="B2438" s="30" t="str">
        <x:v>caribbean-broad-draft-1</x:v>
      </x:c>
      <x:c r="C2438" s="30" t="n">
        <x:v>131487</x:v>
      </x:c>
      <x:c r="D2438" s="32" t="str">
        <x:v>Flamefish</x:v>
      </x:c>
      <x:c r="E2438" s="32" t="str">
        <x:v>Apogon maculatus</x:v>
      </x:c>
      <x:c r="F2438" s="30" t="str">
        <x:v>uncommon</x:v>
      </x:c>
      <x:c r="G2438" s="30" t="str">
        <x:v>standard</x:v>
      </x:c>
      <x:c r="H2438" s="30" t="str">
        <x:v>year-round</x:v>
      </x:c>
      <x:c r="I24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39">
      <x:c r="A2439" s="36" t="str">
        <x:v>caribbean</x:v>
      </x:c>
      <x:c r="B2439" s="30" t="str">
        <x:v>caribbean-broad-draft-1</x:v>
      </x:c>
      <x:c r="C2439" s="30" t="n">
        <x:v>132342</x:v>
      </x:c>
      <x:c r="D2439" s="32" t="str">
        <x:v>Convict Cichlid</x:v>
      </x:c>
      <x:c r="E2439" s="32" t="str">
        <x:v>Amatitlania nigrofasciata</x:v>
      </x:c>
      <x:c r="F2439" s="30" t="str">
        <x:v>uncommon</x:v>
      </x:c>
      <x:c r="G2439" s="30" t="str">
        <x:v>standard</x:v>
      </x:c>
      <x:c r="H2439" s="30" t="str">
        <x:v>year-round</x:v>
      </x:c>
      <x:c r="I24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0">
      <x:c r="A2440" s="36" t="str">
        <x:v>caribbean</x:v>
      </x:c>
      <x:c r="B2440" s="30" t="str">
        <x:v>caribbean-broad-draft-1</x:v>
      </x:c>
      <x:c r="C2440" s="30" t="n">
        <x:v>127706</x:v>
      </x:c>
      <x:c r="D2440" s="32" t="str">
        <x:v>Brown Garden Eel</x:v>
      </x:c>
      <x:c r="E2440" s="32" t="str">
        <x:v>Heteroconger longissimus</x:v>
      </x:c>
      <x:c r="F2440" s="30" t="str">
        <x:v>uncommon</x:v>
      </x:c>
      <x:c r="G2440" s="30" t="str">
        <x:v>standard</x:v>
      </x:c>
      <x:c r="H2440" s="30" t="str">
        <x:v>year-round</x:v>
      </x:c>
      <x:c r="I24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1">
      <x:c r="A2441" s="36" t="str">
        <x:v>caribbean</x:v>
      </x:c>
      <x:c r="B2441" s="30" t="str">
        <x:v>caribbean-broad-draft-1</x:v>
      </x:c>
      <x:c r="C2441" s="30" t="n">
        <x:v>49496</x:v>
      </x:c>
      <x:c r="D2441" s="32" t="str">
        <x:v>Rock Hind</x:v>
      </x:c>
      <x:c r="E2441" s="32" t="str">
        <x:v>Epinephelus adscensionis</x:v>
      </x:c>
      <x:c r="F2441" s="30" t="str">
        <x:v>uncommon</x:v>
      </x:c>
      <x:c r="G2441" s="30" t="str">
        <x:v>standard</x:v>
      </x:c>
      <x:c r="H2441" s="30" t="str">
        <x:v>year-round</x:v>
      </x:c>
      <x:c r="I24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2">
      <x:c r="A2442" s="36" t="str">
        <x:v>caribbean</x:v>
      </x:c>
      <x:c r="B2442" s="30" t="str">
        <x:v>caribbean-broad-draft-1</x:v>
      </x:c>
      <x:c r="C2442" s="30" t="n">
        <x:v>128191</x:v>
      </x:c>
      <x:c r="D2442" s="32" t="str">
        <x:v>Caribbean Longjaw Squirrelfish</x:v>
      </x:c>
      <x:c r="E2442" s="32" t="str">
        <x:v>Neoniphon marianus</x:v>
      </x:c>
      <x:c r="F2442" s="30" t="str">
        <x:v>uncommon</x:v>
      </x:c>
      <x:c r="G2442" s="30" t="str">
        <x:v>standard</x:v>
      </x:c>
      <x:c r="H2442" s="30" t="str">
        <x:v>year-round</x:v>
      </x:c>
      <x:c r="I24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3">
      <x:c r="A2443" s="36" t="str">
        <x:v>caribbean</x:v>
      </x:c>
      <x:c r="B2443" s="30" t="str">
        <x:v>caribbean-broad-draft-1</x:v>
      </x:c>
      <x:c r="C2443" s="30" t="n">
        <x:v>131525</x:v>
      </x:c>
      <x:c r="D2443" s="32" t="str">
        <x:v>Saucereye Porgy</x:v>
      </x:c>
      <x:c r="E2443" s="32" t="str">
        <x:v>Calamus calamus</x:v>
      </x:c>
      <x:c r="F2443" s="30" t="str">
        <x:v>uncommon</x:v>
      </x:c>
      <x:c r="G2443" s="30" t="str">
        <x:v>standard</x:v>
      </x:c>
      <x:c r="H2443" s="30" t="str">
        <x:v>year-round</x:v>
      </x:c>
      <x:c r="I244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4">
      <x:c r="A2444" s="36" t="str">
        <x:v>caribbean</x:v>
      </x:c>
      <x:c r="B2444" s="30" t="str">
        <x:v>caribbean-broad-draft-1</x:v>
      </x:c>
      <x:c r="C2444" s="30" t="n">
        <x:v>317092</x:v>
      </x:c>
      <x:c r="D2444" s="32" t="str">
        <x:v>Pearl Blenny</x:v>
      </x:c>
      <x:c r="E2444" s="32" t="str">
        <x:v>Entomacrodus nigricans</x:v>
      </x:c>
      <x:c r="F2444" s="30" t="str">
        <x:v>uncommon</x:v>
      </x:c>
      <x:c r="G2444" s="30" t="str">
        <x:v>standard</x:v>
      </x:c>
      <x:c r="H2444" s="30" t="str">
        <x:v>year-round</x:v>
      </x:c>
      <x:c r="I244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5">
      <x:c r="A2445" s="36" t="str">
        <x:v>caribbean</x:v>
      </x:c>
      <x:c r="B2445" s="30" t="str">
        <x:v>caribbean-broad-draft-1</x:v>
      </x:c>
      <x:c r="C2445" s="30" t="n">
        <x:v>131507</x:v>
      </x:c>
      <x:c r="D2445" s="32" t="str">
        <x:v>Colon Goby</x:v>
      </x:c>
      <x:c r="E2445" s="32" t="str">
        <x:v>Coryphopterus dicrus</x:v>
      </x:c>
      <x:c r="F2445" s="30" t="str">
        <x:v>rare</x:v>
      </x:c>
      <x:c r="G2445" s="30" t="str">
        <x:v>standard</x:v>
      </x:c>
      <x:c r="H2445" s="30" t="str">
        <x:v>year-round</x:v>
      </x:c>
      <x:c r="I244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6">
      <x:c r="A2446" s="36" t="str">
        <x:v>caribbean</x:v>
      </x:c>
      <x:c r="B2446" s="30" t="str">
        <x:v>caribbean-broad-draft-1</x:v>
      </x:c>
      <x:c r="C2446" s="30" t="n">
        <x:v>112136</x:v>
      </x:c>
      <x:c r="D2446" s="32" t="str">
        <x:v>Blue Parrotfish</x:v>
      </x:c>
      <x:c r="E2446" s="32" t="str">
        <x:v>Scarus coeruleus</x:v>
      </x:c>
      <x:c r="F2446" s="30" t="str">
        <x:v>uncommon</x:v>
      </x:c>
      <x:c r="G2446" s="30" t="str">
        <x:v>standard</x:v>
      </x:c>
      <x:c r="H2446" s="30" t="str">
        <x:v>year-round</x:v>
      </x:c>
      <x:c r="I244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7">
      <x:c r="A2447" s="36" t="str">
        <x:v>caribbean</x:v>
      </x:c>
      <x:c r="B2447" s="30" t="str">
        <x:v>caribbean-broad-draft-1</x:v>
      </x:c>
      <x:c r="C2447" s="30" t="n">
        <x:v>317005</x:v>
      </x:c>
      <x:c r="D2447" s="32" t="str">
        <x:v>Mottled Flounder</x:v>
      </x:c>
      <x:c r="E2447" s="32" t="str">
        <x:v>Bothus maculiferus</x:v>
      </x:c>
      <x:c r="F2447" s="30" t="str">
        <x:v>rare</x:v>
      </x:c>
      <x:c r="G2447" s="30" t="str">
        <x:v>standard</x:v>
      </x:c>
      <x:c r="H2447" s="30" t="str">
        <x:v>year-round</x:v>
      </x:c>
      <x:c r="I244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8">
      <x:c r="A2448" s="36" t="str">
        <x:v>caribbean</x:v>
      </x:c>
      <x:c r="B2448" s="30" t="str">
        <x:v>caribbean-broad-draft-1</x:v>
      </x:c>
      <x:c r="C2448" s="30" t="n">
        <x:v>317017</x:v>
      </x:c>
      <x:c r="D2448" s="32" t="str">
        <x:v>Pluma Porgy</x:v>
      </x:c>
      <x:c r="E2448" s="32" t="str">
        <x:v>Calamus pennatula</x:v>
      </x:c>
      <x:c r="F2448" s="30" t="str">
        <x:v>rare</x:v>
      </x:c>
      <x:c r="G2448" s="30" t="str">
        <x:v>standard</x:v>
      </x:c>
      <x:c r="H2448" s="30" t="str">
        <x:v>year-round</x:v>
      </x:c>
      <x:c r="I244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49">
      <x:c r="A2449" s="36" t="str">
        <x:v>caribbean</x:v>
      </x:c>
      <x:c r="B2449" s="30" t="str">
        <x:v>caribbean-broad-draft-1</x:v>
      </x:c>
      <x:c r="C2449" s="30" t="n">
        <x:v>101604</x:v>
      </x:c>
      <x:c r="D2449" s="32" t="str">
        <x:v>Bigmouth Sleeper</x:v>
      </x:c>
      <x:c r="E2449" s="32" t="str">
        <x:v>Gobiomorus dormitor</x:v>
      </x:c>
      <x:c r="F2449" s="30" t="str">
        <x:v>rare</x:v>
      </x:c>
      <x:c r="G2449" s="30" t="str">
        <x:v>standard</x:v>
      </x:c>
      <x:c r="H2449" s="30" t="str">
        <x:v>year-round</x:v>
      </x:c>
      <x:c r="I244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0">
      <x:c r="A2450" s="36" t="str">
        <x:v>caribbean</x:v>
      </x:c>
      <x:c r="B2450" s="30" t="str">
        <x:v>caribbean-broad-draft-1</x:v>
      </x:c>
      <x:c r="C2450" s="30" t="n">
        <x:v>317251</x:v>
      </x:c>
      <x:c r="D2450" s="32" t="str">
        <x:v>Reef Croaker</x:v>
      </x:c>
      <x:c r="E2450" s="32" t="str">
        <x:v>Odontoscion dentex</x:v>
      </x:c>
      <x:c r="F2450" s="30" t="str">
        <x:v>rare</x:v>
      </x:c>
      <x:c r="G2450" s="30" t="str">
        <x:v>standard</x:v>
      </x:c>
      <x:c r="H2450" s="30" t="str">
        <x:v>year-round</x:v>
      </x:c>
      <x:c r="I245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1">
      <x:c r="A2451" s="36" t="str">
        <x:v>caribbean</x:v>
      </x:c>
      <x:c r="B2451" s="30" t="str">
        <x:v>caribbean-broad-draft-1</x:v>
      </x:c>
      <x:c r="C2451" s="30" t="n">
        <x:v>341201</x:v>
      </x:c>
      <x:c r="D2451" s="32" t="str">
        <x:v>Caribbean Gambusia</x:v>
      </x:c>
      <x:c r="E2451" s="32" t="str">
        <x:v>Gambusia puncticulata</x:v>
      </x:c>
      <x:c r="F2451" s="30" t="str">
        <x:v>rare</x:v>
      </x:c>
      <x:c r="G2451" s="30" t="str">
        <x:v>standard</x:v>
      </x:c>
      <x:c r="H2451" s="30" t="str">
        <x:v>year-round</x:v>
      </x:c>
      <x:c r="I245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2">
      <x:c r="A2452" s="36" t="str">
        <x:v>caribbean</x:v>
      </x:c>
      <x:c r="B2452" s="30" t="str">
        <x:v>caribbean-broad-draft-1</x:v>
      </x:c>
      <x:c r="C2452" s="30" t="n">
        <x:v>446046</x:v>
      </x:c>
      <x:c r="D2452" s="32" t="str">
        <x:v>Puffcheek Blenny</x:v>
      </x:c>
      <x:c r="E2452" s="32" t="str">
        <x:v>Gobioclinus bucciferus</x:v>
      </x:c>
      <x:c r="F2452" s="30" t="str">
        <x:v>rare</x:v>
      </x:c>
      <x:c r="G2452" s="30" t="str">
        <x:v>standard</x:v>
      </x:c>
      <x:c r="H2452" s="30" t="str">
        <x:v>year-round</x:v>
      </x:c>
      <x:c r="I245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3">
      <x:c r="A2453" s="36" t="str">
        <x:v>caribbean</x:v>
      </x:c>
      <x:c r="B2453" s="30" t="str">
        <x:v>caribbean-broad-draft-1</x:v>
      </x:c>
      <x:c r="C2453" s="30" t="n">
        <x:v>131512</x:v>
      </x:c>
      <x:c r="D2453" s="32" t="str">
        <x:v>Web Burrfish</x:v>
      </x:c>
      <x:c r="E2453" s="32" t="str">
        <x:v>Chilomycterus antillarum</x:v>
      </x:c>
      <x:c r="F2453" s="30" t="str">
        <x:v>rare</x:v>
      </x:c>
      <x:c r="G2453" s="30" t="str">
        <x:v>standard</x:v>
      </x:c>
      <x:c r="H2453" s="30" t="str">
        <x:v>year-round</x:v>
      </x:c>
      <x:c r="I245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4">
      <x:c r="A2454" s="36" t="str">
        <x:v>caribbean</x:v>
      </x:c>
      <x:c r="B2454" s="30" t="str">
        <x:v>caribbean-broad-draft-1</x:v>
      </x:c>
      <x:c r="C2454" s="30" t="n">
        <x:v>110594</x:v>
      </x:c>
      <x:c r="D2454" s="32" t="str">
        <x:v>Longsnout Butterflyfish</x:v>
      </x:c>
      <x:c r="E2454" s="32" t="str">
        <x:v>Prognathodes aculeatus</x:v>
      </x:c>
      <x:c r="F2454" s="30" t="str">
        <x:v>rare</x:v>
      </x:c>
      <x:c r="G2454" s="30" t="str">
        <x:v>standard</x:v>
      </x:c>
      <x:c r="H2454" s="30" t="str">
        <x:v>year-round</x:v>
      </x:c>
      <x:c r="I245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5">
      <x:c r="A2455" s="36" t="str">
        <x:v>caribbean</x:v>
      </x:c>
      <x:c r="B2455" s="30" t="str">
        <x:v>caribbean-broad-draft-1</x:v>
      </x:c>
      <x:c r="C2455" s="30" t="n">
        <x:v>115185</x:v>
      </x:c>
      <x:c r="D2455" s="32" t="str">
        <x:v>Rosy Razorfish</x:v>
      </x:c>
      <x:c r="E2455" s="32" t="str">
        <x:v>Xyrichtys martinicensis</x:v>
      </x:c>
      <x:c r="F2455" s="30" t="str">
        <x:v>rare</x:v>
      </x:c>
      <x:c r="G2455" s="30" t="str">
        <x:v>standard</x:v>
      </x:c>
      <x:c r="H2455" s="30" t="str">
        <x:v>year-round</x:v>
      </x:c>
      <x:c r="I245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6">
      <x:c r="A2456" s="36" t="str">
        <x:v>caribbean</x:v>
      </x:c>
      <x:c r="B2456" s="30" t="str">
        <x:v>caribbean-broad-draft-1</x:v>
      </x:c>
      <x:c r="C2456" s="30" t="n">
        <x:v>179865</x:v>
      </x:c>
      <x:c r="D2456" s="32" t="str">
        <x:v>Secretary Blenny</x:v>
      </x:c>
      <x:c r="E2456" s="32" t="str">
        <x:v>Acanthemblemaria maria</x:v>
      </x:c>
      <x:c r="F2456" s="30" t="str">
        <x:v>rare</x:v>
      </x:c>
      <x:c r="G2456" s="30" t="str">
        <x:v>standard</x:v>
      </x:c>
      <x:c r="H2456" s="30" t="str">
        <x:v>year-round</x:v>
      </x:c>
      <x:c r="I245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7">
      <x:c r="A2457" s="36" t="str">
        <x:v>caribbean</x:v>
      </x:c>
      <x:c r="B2457" s="30" t="str">
        <x:v>caribbean-broad-draft-1</x:v>
      </x:c>
      <x:c r="C2457" s="30" t="n">
        <x:v>49606</x:v>
      </x:c>
      <x:c r="D2457" s="32" t="str">
        <x:v>Grey Triggerfish</x:v>
      </x:c>
      <x:c r="E2457" s="32" t="str">
        <x:v>Balistes capriscus</x:v>
      </x:c>
      <x:c r="F2457" s="30" t="str">
        <x:v>rare</x:v>
      </x:c>
      <x:c r="G2457" s="30" t="str">
        <x:v>standard</x:v>
      </x:c>
      <x:c r="H2457" s="30" t="str">
        <x:v>year-round</x:v>
      </x:c>
      <x:c r="I245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8">
      <x:c r="A2458" s="36" t="str">
        <x:v>caribbean</x:v>
      </x:c>
      <x:c r="B2458" s="30" t="str">
        <x:v>caribbean-broad-draft-1</x:v>
      </x:c>
      <x:c r="C2458" s="30" t="n">
        <x:v>131475</x:v>
      </x:c>
      <x:c r="D2458" s="32" t="str">
        <x:v>Black Hamlet</x:v>
      </x:c>
      <x:c r="E2458" s="32" t="str">
        <x:v>Hypoplectrus nigricans</x:v>
      </x:c>
      <x:c r="F2458" s="30" t="str">
        <x:v>rare</x:v>
      </x:c>
      <x:c r="G2458" s="30" t="str">
        <x:v>standard</x:v>
      </x:c>
      <x:c r="H2458" s="30" t="str">
        <x:v>year-round</x:v>
      </x:c>
      <x:c r="I245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59">
      <x:c r="A2459" s="36" t="str">
        <x:v>caribbean</x:v>
      </x:c>
      <x:c r="B2459" s="30" t="str">
        <x:v>caribbean-broad-draft-1</x:v>
      </x:c>
      <x:c r="C2459" s="30" t="n">
        <x:v>64470</x:v>
      </x:c>
      <x:c r="D2459" s="32" t="str">
        <x:v>Tiger Grouper</x:v>
      </x:c>
      <x:c r="E2459" s="32" t="str">
        <x:v>Mycteroperca tigris</x:v>
      </x:c>
      <x:c r="F2459" s="30" t="str">
        <x:v>rare</x:v>
      </x:c>
      <x:c r="G2459" s="30" t="str">
        <x:v>standard</x:v>
      </x:c>
      <x:c r="H2459" s="30" t="str">
        <x:v>year-round</x:v>
      </x:c>
      <x:c r="I245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0">
      <x:c r="A2460" s="36" t="str">
        <x:v>caribbean</x:v>
      </x:c>
      <x:c r="B2460" s="30" t="str">
        <x:v>caribbean-broad-draft-1</x:v>
      </x:c>
      <x:c r="C2460" s="30" t="n">
        <x:v>109633</x:v>
      </x:c>
      <x:c r="D2460" s="32" t="str">
        <x:v>Keeltail Needlefish</x:v>
      </x:c>
      <x:c r="E2460" s="32" t="str">
        <x:v>Platybelone argalus</x:v>
      </x:c>
      <x:c r="F2460" s="30" t="str">
        <x:v>rare</x:v>
      </x:c>
      <x:c r="G2460" s="30" t="str">
        <x:v>standard</x:v>
      </x:c>
      <x:c r="H2460" s="30" t="str">
        <x:v>year-round</x:v>
      </x:c>
      <x:c r="I246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1">
      <x:c r="A2461" s="36" t="str">
        <x:v>caribbean</x:v>
      </x:c>
      <x:c r="B2461" s="30" t="str">
        <x:v>caribbean-broad-draft-1</x:v>
      </x:c>
      <x:c r="C2461" s="30" t="n">
        <x:v>500328</x:v>
      </x:c>
      <x:c r="D2461" s="32" t="str">
        <x:v>Sand-canyon Goby</x:v>
      </x:c>
      <x:c r="E2461" s="32" t="str">
        <x:v>Coryphopterus venezuelae</x:v>
      </x:c>
      <x:c r="F2461" s="30" t="str">
        <x:v>rare</x:v>
      </x:c>
      <x:c r="G2461" s="30" t="str">
        <x:v>standard</x:v>
      </x:c>
      <x:c r="H2461" s="30" t="str">
        <x:v>year-round</x:v>
      </x:c>
      <x:c r="I246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2">
      <x:c r="A2462" s="36" t="str">
        <x:v>caribbean</x:v>
      </x:c>
      <x:c r="B2462" s="30" t="str">
        <x:v>caribbean-broad-draft-1</x:v>
      </x:c>
      <x:c r="C2462" s="30" t="n">
        <x:v>49953</x:v>
      </x:c>
      <x:c r="D2462" s="32" t="str">
        <x:v>White Margate</x:v>
      </x:c>
      <x:c r="E2462" s="32" t="str">
        <x:v>Haemulon album</x:v>
      </x:c>
      <x:c r="F2462" s="30" t="str">
        <x:v>rare</x:v>
      </x:c>
      <x:c r="G2462" s="30" t="str">
        <x:v>standard</x:v>
      </x:c>
      <x:c r="H2462" s="30" t="str">
        <x:v>year-round</x:v>
      </x:c>
      <x:c r="I246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3">
      <x:c r="A2463" s="36" t="str">
        <x:v>caribbean</x:v>
      </x:c>
      <x:c r="B2463" s="30" t="str">
        <x:v>caribbean-broad-draft-1</x:v>
      </x:c>
      <x:c r="C2463" s="30" t="n">
        <x:v>63418</x:v>
      </x:c>
      <x:c r="D2463" s="32" t="str">
        <x:v>Cubera Snapper</x:v>
      </x:c>
      <x:c r="E2463" s="32" t="str">
        <x:v>Lutjanus cyanopterus</x:v>
      </x:c>
      <x:c r="F2463" s="30" t="str">
        <x:v>rare</x:v>
      </x:c>
      <x:c r="G2463" s="30" t="str">
        <x:v>standard</x:v>
      </x:c>
      <x:c r="H2463" s="30" t="str">
        <x:v>year-round</x:v>
      </x:c>
      <x:c r="I246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4">
      <x:c r="A2464" s="36" t="str">
        <x:v>caribbean</x:v>
      </x:c>
      <x:c r="B2464" s="30" t="str">
        <x:v>caribbean-broad-draft-1</x:v>
      </x:c>
      <x:c r="C2464" s="30" t="n">
        <x:v>358211</x:v>
      </x:c>
      <x:c r="D2464" s="32" t="str">
        <x:v>spotted algae-eating goby</x:v>
      </x:c>
      <x:c r="E2464" s="32" t="str">
        <x:v>Sicydium punctatum</x:v>
      </x:c>
      <x:c r="F2464" s="30" t="str">
        <x:v>rare</x:v>
      </x:c>
      <x:c r="G2464" s="30" t="str">
        <x:v>standard</x:v>
      </x:c>
      <x:c r="H2464" s="30" t="str">
        <x:v>year-round</x:v>
      </x:c>
      <x:c r="I246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5">
      <x:c r="A2465" s="36" t="str">
        <x:v>caribbean</x:v>
      </x:c>
      <x:c r="B2465" s="30" t="str">
        <x:v>caribbean-broad-draft-1</x:v>
      </x:c>
      <x:c r="C2465" s="30" t="n">
        <x:v>131510</x:v>
      </x:c>
      <x:c r="D2465" s="32" t="str">
        <x:v>Roughhead Blenny</x:v>
      </x:c>
      <x:c r="E2465" s="32" t="str">
        <x:v>Acanthemblemaria aspera</x:v>
      </x:c>
      <x:c r="F2465" s="30" t="str">
        <x:v>rare</x:v>
      </x:c>
      <x:c r="G2465" s="30" t="str">
        <x:v>standard</x:v>
      </x:c>
      <x:c r="H2465" s="30" t="str">
        <x:v>year-round</x:v>
      </x:c>
      <x:c r="I246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6">
      <x:c r="A2466" s="36" t="str">
        <x:v>caribbean</x:v>
      </x:c>
      <x:c r="B2466" s="30" t="str">
        <x:v>caribbean-broad-draft-1</x:v>
      </x:c>
      <x:c r="C2466" s="30" t="n">
        <x:v>446140</x:v>
      </x:c>
      <x:c r="D2466" s="32" t="str">
        <x:v>Masquerader Hairy Blenny</x:v>
      </x:c>
      <x:c r="E2466" s="32" t="str">
        <x:v>Labrisomus conditus</x:v>
      </x:c>
      <x:c r="F2466" s="30" t="str">
        <x:v>rare</x:v>
      </x:c>
      <x:c r="G2466" s="30" t="str">
        <x:v>standard</x:v>
      </x:c>
      <x:c r="H2466" s="30" t="str">
        <x:v>year-round</x:v>
      </x:c>
      <x:c r="I246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7">
      <x:c r="A2467" s="36" t="str">
        <x:v>caribbean</x:v>
      </x:c>
      <x:c r="B2467" s="30" t="str">
        <x:v>caribbean-broad-draft-1</x:v>
      </x:c>
      <x:c r="C2467" s="30" t="n">
        <x:v>179467</x:v>
      </x:c>
      <x:c r="D2467" s="32" t="str">
        <x:v>Redfin Needlefish</x:v>
      </x:c>
      <x:c r="E2467" s="32" t="str">
        <x:v>Strongylura notata</x:v>
      </x:c>
      <x:c r="F2467" s="30" t="str">
        <x:v>rare</x:v>
      </x:c>
      <x:c r="G2467" s="30" t="str">
        <x:v>standard</x:v>
      </x:c>
      <x:c r="H2467" s="30" t="str">
        <x:v>year-round</x:v>
      </x:c>
      <x:c r="I246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8">
      <x:c r="A2468" s="36" t="str">
        <x:v>caribbean</x:v>
      </x:c>
      <x:c r="B2468" s="30" t="str">
        <x:v>caribbean-broad-draft-1</x:v>
      </x:c>
      <x:c r="C2468" s="30" t="n">
        <x:v>208884</x:v>
      </x:c>
      <x:c r="D2468" s="32" t="str">
        <x:v>Midas Cichlid</x:v>
      </x:c>
      <x:c r="E2468" s="32" t="str">
        <x:v>Amphilophus citrinellus</x:v>
      </x:c>
      <x:c r="F2468" s="30" t="str">
        <x:v>very_rare</x:v>
      </x:c>
      <x:c r="G2468" s="30" t="str">
        <x:v>standard</x:v>
      </x:c>
      <x:c r="H2468" s="30" t="str">
        <x:v>year-round</x:v>
      </x:c>
      <x:c r="I246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69">
      <x:c r="A2469" s="36" t="str">
        <x:v>caribbean</x:v>
      </x:c>
      <x:c r="B2469" s="30" t="str">
        <x:v>caribbean-broad-draft-1</x:v>
      </x:c>
      <x:c r="C2469" s="30" t="n">
        <x:v>192655</x:v>
      </x:c>
      <x:c r="D2469" s="32" t="str">
        <x:v>Peppermint Goby</x:v>
      </x:c>
      <x:c r="E2469" s="32" t="str">
        <x:v>Coryphopterus lipernes</x:v>
      </x:c>
      <x:c r="F2469" s="30" t="str">
        <x:v>very_rare</x:v>
      </x:c>
      <x:c r="G2469" s="30" t="str">
        <x:v>standard</x:v>
      </x:c>
      <x:c r="H2469" s="30" t="str">
        <x:v>year-round</x:v>
      </x:c>
      <x:c r="I246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0">
      <x:c r="A2470" s="36" t="str">
        <x:v>caribbean</x:v>
      </x:c>
      <x:c r="B2470" s="30" t="str">
        <x:v>caribbean-broad-draft-1</x:v>
      </x:c>
      <x:c r="C2470" s="30" t="n">
        <x:v>614339</x:v>
      </x:c>
      <x:c r="D2470" s="32" t="str">
        <x:v>Antilles Frillfin</x:v>
      </x:c>
      <x:c r="E2470" s="32" t="str">
        <x:v>Bathygobius antilliensis</x:v>
      </x:c>
      <x:c r="F2470" s="30" t="str">
        <x:v>very_rare</x:v>
      </x:c>
      <x:c r="G2470" s="30" t="str">
        <x:v>standard</x:v>
      </x:c>
      <x:c r="H2470" s="30" t="str">
        <x:v>year-round</x:v>
      </x:c>
      <x:c r="I247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1">
      <x:c r="A2471" s="36" t="str">
        <x:v>caribbean</x:v>
      </x:c>
      <x:c r="B2471" s="30" t="str">
        <x:v>caribbean-broad-draft-1</x:v>
      </x:c>
      <x:c r="C2471" s="30" t="n">
        <x:v>131509</x:v>
      </x:c>
      <x:c r="D2471" s="32" t="str">
        <x:v>Sailfin Blenny</x:v>
      </x:c>
      <x:c r="E2471" s="32" t="str">
        <x:v>Emblemaria pandionis</x:v>
      </x:c>
      <x:c r="F2471" s="30" t="str">
        <x:v>very_rare</x:v>
      </x:c>
      <x:c r="G2471" s="30" t="str">
        <x:v>standard</x:v>
      </x:c>
      <x:c r="H2471" s="30" t="str">
        <x:v>year-round</x:v>
      </x:c>
      <x:c r="I247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2">
      <x:c r="A2472" s="36" t="str">
        <x:v>caribbean</x:v>
      </x:c>
      <x:c r="B2472" s="30" t="str">
        <x:v>caribbean-broad-draft-1</x:v>
      </x:c>
      <x:c r="C2472" s="30" t="n">
        <x:v>1630713</x:v>
      </x:c>
      <x:c r="D2472" s="32" t="str">
        <x:v>Reef Squirrelfish</x:v>
      </x:c>
      <x:c r="E2472" s="32" t="str">
        <x:v>Neoniphon coruscus</x:v>
      </x:c>
      <x:c r="F2472" s="30" t="str">
        <x:v>very_rare</x:v>
      </x:c>
      <x:c r="G2472" s="30" t="str">
        <x:v>standard</x:v>
      </x:c>
      <x:c r="H2472" s="30" t="str">
        <x:v>year-round</x:v>
      </x:c>
      <x:c r="I247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3">
      <x:c r="A2473" s="36" t="str">
        <x:v>caribbean</x:v>
      </x:c>
      <x:c r="B2473" s="30" t="str">
        <x:v>caribbean-broad-draft-1</x:v>
      </x:c>
      <x:c r="C2473" s="30" t="n">
        <x:v>22454</x:v>
      </x:c>
      <x:c r="D2473" s="32" t="str">
        <x:v>Common Coqui</x:v>
      </x:c>
      <x:c r="E2473" s="32" t="str">
        <x:v>Eleutherodactylus coqui</x:v>
      </x:c>
      <x:c r="F2473" s="30" t="str">
        <x:v>common</x:v>
      </x:c>
      <x:c r="G2473" s="30" t="str">
        <x:v>standard</x:v>
      </x:c>
      <x:c r="H2473" s="30" t="str">
        <x:v>year-round</x:v>
      </x:c>
      <x:c r="I2473" s="37" t="str">
        <x:v>Owner-managed caribbean essential checklist; imported from caribbean_checklists.csv. Encounter rarity and prestige are curated game metadata. Automated rarity: inaturalist-regional-frequency-v1.</x:v>
      </x:c>
    </x:row>
    <x:row r="2474">
      <x:c r="A2474" s="36" t="str">
        <x:v>caribbean</x:v>
      </x:c>
      <x:c r="B2474" s="30" t="str">
        <x:v>caribbean-broad-draft-1</x:v>
      </x:c>
      <x:c r="C2474" s="30" t="n">
        <x:v>24382</x:v>
      </x:c>
      <x:c r="D2474" s="32" t="str">
        <x:v>Cuban Tree Frog</x:v>
      </x:c>
      <x:c r="E2474" s="32" t="str">
        <x:v>Osteopilus septentrionalis</x:v>
      </x:c>
      <x:c r="F2474" s="30" t="str">
        <x:v>common</x:v>
      </x:c>
      <x:c r="G2474" s="30" t="str">
        <x:v>standard</x:v>
      </x:c>
      <x:c r="H2474" s="30" t="str">
        <x:v>year-round</x:v>
      </x:c>
      <x:c r="I247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5">
      <x:c r="A2475" s="36" t="str">
        <x:v>caribbean</x:v>
      </x:c>
      <x:c r="B2475" s="30" t="str">
        <x:v>caribbean-broad-draft-1</x:v>
      </x:c>
      <x:c r="C2475" s="30" t="n">
        <x:v>553515</x:v>
      </x:c>
      <x:c r="D2475" s="32" t="str">
        <x:v>Cane Toad</x:v>
      </x:c>
      <x:c r="E2475" s="32" t="str">
        <x:v>Rhinella marina</x:v>
      </x:c>
      <x:c r="F2475" s="30" t="str">
        <x:v>common</x:v>
      </x:c>
      <x:c r="G2475" s="30" t="str">
        <x:v>standard</x:v>
      </x:c>
      <x:c r="H2475" s="30" t="str">
        <x:v>year-round</x:v>
      </x:c>
      <x:c r="I247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6">
      <x:c r="A2476" s="36" t="str">
        <x:v>caribbean</x:v>
      </x:c>
      <x:c r="B2476" s="30" t="str">
        <x:v>caribbean-broad-draft-1</x:v>
      </x:c>
      <x:c r="C2476" s="30" t="n">
        <x:v>22771</x:v>
      </x:c>
      <x:c r="D2476" s="32" t="str">
        <x:v>Antillean Coqui</x:v>
      </x:c>
      <x:c r="E2476" s="32" t="str">
        <x:v>Eleutherodactylus antillensis</x:v>
      </x:c>
      <x:c r="F2476" s="30" t="str">
        <x:v>common</x:v>
      </x:c>
      <x:c r="G2476" s="30" t="str">
        <x:v>standard</x:v>
      </x:c>
      <x:c r="H2476" s="30" t="str">
        <x:v>year-round</x:v>
      </x:c>
      <x:c r="I247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7">
      <x:c r="A2477" s="36" t="str">
        <x:v>caribbean</x:v>
      </x:c>
      <x:c r="B2477" s="30" t="str">
        <x:v>caribbean-broad-draft-1</x:v>
      </x:c>
      <x:c r="C2477" s="30" t="n">
        <x:v>22979</x:v>
      </x:c>
      <x:c r="D2477" s="32" t="str">
        <x:v>Caribbean White-lipped Frog</x:v>
      </x:c>
      <x:c r="E2477" s="32" t="str">
        <x:v>Leptodactylus albilabris</x:v>
      </x:c>
      <x:c r="F2477" s="30" t="str">
        <x:v>common</x:v>
      </x:c>
      <x:c r="G2477" s="30" t="str">
        <x:v>standard</x:v>
      </x:c>
      <x:c r="H2477" s="30" t="str">
        <x:v>year-round</x:v>
      </x:c>
      <x:c r="I247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8">
      <x:c r="A2478" s="36" t="str">
        <x:v>caribbean</x:v>
      </x:c>
      <x:c r="B2478" s="30" t="str">
        <x:v>caribbean-broad-draft-1</x:v>
      </x:c>
      <x:c r="C2478" s="30" t="n">
        <x:v>22333</x:v>
      </x:c>
      <x:c r="D2478" s="32" t="str">
        <x:v>Lesser Antillean whistling frog</x:v>
      </x:c>
      <x:c r="E2478" s="32" t="str">
        <x:v>Eleutherodactylus johnstonei</x:v>
      </x:c>
      <x:c r="F2478" s="30" t="str">
        <x:v>common</x:v>
      </x:c>
      <x:c r="G2478" s="30" t="str">
        <x:v>standard</x:v>
      </x:c>
      <x:c r="H2478" s="30" t="str">
        <x:v>year-round</x:v>
      </x:c>
      <x:c r="I247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79">
      <x:c r="A2479" s="36" t="str">
        <x:v>caribbean</x:v>
      </x:c>
      <x:c r="B2479" s="30" t="str">
        <x:v>caribbean-broad-draft-1</x:v>
      </x:c>
      <x:c r="C2479" s="30" t="n">
        <x:v>24379</x:v>
      </x:c>
      <x:c r="D2479" s="32" t="str">
        <x:v>Hispaniolan Common Tree Frog</x:v>
      </x:c>
      <x:c r="E2479" s="32" t="str">
        <x:v>Osteopilus dominicensis</x:v>
      </x:c>
      <x:c r="F2479" s="30" t="str">
        <x:v>common</x:v>
      </x:c>
      <x:c r="G2479" s="30" t="str">
        <x:v>standard</x:v>
      </x:c>
      <x:c r="H2479" s="30" t="str">
        <x:v>year-round</x:v>
      </x:c>
      <x:c r="I247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0">
      <x:c r="A2480" s="36" t="str">
        <x:v>caribbean</x:v>
      </x:c>
      <x:c r="B2480" s="30" t="str">
        <x:v>caribbean-broad-draft-1</x:v>
      </x:c>
      <x:c r="C2480" s="30" t="n">
        <x:v>66349</x:v>
      </x:c>
      <x:c r="D2480" s="32" t="str">
        <x:v>Eastern Giant Toad</x:v>
      </x:c>
      <x:c r="E2480" s="32" t="str">
        <x:v>Peltophryne peltocephala</x:v>
      </x:c>
      <x:c r="F2480" s="30" t="str">
        <x:v>common</x:v>
      </x:c>
      <x:c r="G2480" s="30" t="str">
        <x:v>standard</x:v>
      </x:c>
      <x:c r="H2480" s="30" t="str">
        <x:v>year-round</x:v>
      </x:c>
      <x:c r="I248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1">
      <x:c r="A2481" s="36" t="str">
        <x:v>caribbean</x:v>
      </x:c>
      <x:c r="B2481" s="30" t="str">
        <x:v>caribbean-broad-draft-1</x:v>
      </x:c>
      <x:c r="C2481" s="30" t="n">
        <x:v>22761</x:v>
      </x:c>
      <x:c r="D2481" s="32" t="str">
        <x:v>Whistling Coqui</x:v>
      </x:c>
      <x:c r="E2481" s="32" t="str">
        <x:v>Eleutherodactylus cochranae</x:v>
      </x:c>
      <x:c r="F2481" s="30" t="str">
        <x:v>common</x:v>
      </x:c>
      <x:c r="G2481" s="30" t="str">
        <x:v>standard</x:v>
      </x:c>
      <x:c r="H2481" s="30" t="str">
        <x:v>year-round</x:v>
      </x:c>
      <x:c r="I248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2">
      <x:c r="A2482" s="36" t="str">
        <x:v>caribbean</x:v>
      </x:c>
      <x:c r="B2482" s="30" t="str">
        <x:v>caribbean-broad-draft-1</x:v>
      </x:c>
      <x:c r="C2482" s="30" t="n">
        <x:v>22631</x:v>
      </x:c>
      <x:c r="D2482" s="32" t="str">
        <x:v>Greenhouse Frog</x:v>
      </x:c>
      <x:c r="E2482" s="32" t="str">
        <x:v>Eleutherodactylus planirostris</x:v>
      </x:c>
      <x:c r="F2482" s="30" t="str">
        <x:v>common</x:v>
      </x:c>
      <x:c r="G2482" s="30" t="str">
        <x:v>standard</x:v>
      </x:c>
      <x:c r="H2482" s="30" t="str">
        <x:v>year-round</x:v>
      </x:c>
      <x:c r="I248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3">
      <x:c r="A2483" s="36" t="str">
        <x:v>caribbean</x:v>
      </x:c>
      <x:c r="B2483" s="30" t="str">
        <x:v>caribbean-broad-draft-1</x:v>
      </x:c>
      <x:c r="C2483" s="30" t="n">
        <x:v>22739</x:v>
      </x:c>
      <x:c r="D2483" s="32" t="str">
        <x:v>Martinique Robber Frog</x:v>
      </x:c>
      <x:c r="E2483" s="32" t="str">
        <x:v>Eleutherodactylus martinicensis</x:v>
      </x:c>
      <x:c r="F2483" s="30" t="str">
        <x:v>common</x:v>
      </x:c>
      <x:c r="G2483" s="30" t="str">
        <x:v>standard</x:v>
      </x:c>
      <x:c r="H2483" s="30" t="str">
        <x:v>year-round</x:v>
      </x:c>
      <x:c r="I248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4">
      <x:c r="A2484" s="36" t="str">
        <x:v>caribbean</x:v>
      </x:c>
      <x:c r="B2484" s="30" t="str">
        <x:v>caribbean-broad-draft-1</x:v>
      </x:c>
      <x:c r="C2484" s="30" t="n">
        <x:v>22302</x:v>
      </x:c>
      <x:c r="D2484" s="32" t="str">
        <x:v>Hispaniolan Giant Frog</x:v>
      </x:c>
      <x:c r="E2484" s="32" t="str">
        <x:v>Eleutherodactylus inoptatus</x:v>
      </x:c>
      <x:c r="F2484" s="30" t="str">
        <x:v>common</x:v>
      </x:c>
      <x:c r="G2484" s="30" t="str">
        <x:v>standard</x:v>
      </x:c>
      <x:c r="H2484" s="30" t="str">
        <x:v>year-round</x:v>
      </x:c>
      <x:c r="I248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5">
      <x:c r="A2485" s="36" t="str">
        <x:v>caribbean</x:v>
      </x:c>
      <x:c r="B2485" s="30" t="str">
        <x:v>caribbean-broad-draft-1</x:v>
      </x:c>
      <x:c r="C2485" s="30" t="n">
        <x:v>22601</x:v>
      </x:c>
      <x:c r="D2485" s="32" t="str">
        <x:v>Abbott's Robber Frog</x:v>
      </x:c>
      <x:c r="E2485" s="32" t="str">
        <x:v>Eleutherodactylus abbotti</x:v>
      </x:c>
      <x:c r="F2485" s="30" t="str">
        <x:v>common</x:v>
      </x:c>
      <x:c r="G2485" s="30" t="str">
        <x:v>standard</x:v>
      </x:c>
      <x:c r="H2485" s="30" t="str">
        <x:v>year-round</x:v>
      </x:c>
      <x:c r="I248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6">
      <x:c r="A2486" s="36" t="str">
        <x:v>caribbean</x:v>
      </x:c>
      <x:c r="B2486" s="30" t="str">
        <x:v>caribbean-broad-draft-1</x:v>
      </x:c>
      <x:c r="C2486" s="30" t="n">
        <x:v>65979</x:v>
      </x:c>
      <x:c r="D2486" s="32" t="str">
        <x:v>American Bullfrog</x:v>
      </x:c>
      <x:c r="E2486" s="32" t="str">
        <x:v>Lithobates catesbeianus</x:v>
      </x:c>
      <x:c r="F2486" s="30" t="str">
        <x:v>common</x:v>
      </x:c>
      <x:c r="G2486" s="30" t="str">
        <x:v>standard</x:v>
      </x:c>
      <x:c r="H2486" s="30" t="str">
        <x:v>year-round</x:v>
      </x:c>
      <x:c r="I248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7">
      <x:c r="A2487" s="36" t="str">
        <x:v>caribbean</x:v>
      </x:c>
      <x:c r="B2487" s="30" t="str">
        <x:v>caribbean-broad-draft-1</x:v>
      </x:c>
      <x:c r="C2487" s="30" t="n">
        <x:v>22616</x:v>
      </x:c>
      <x:c r="D2487" s="32" t="str">
        <x:v>Grass Coqui</x:v>
      </x:c>
      <x:c r="E2487" s="32" t="str">
        <x:v>Eleutherodactylus brittoni</x:v>
      </x:c>
      <x:c r="F2487" s="30" t="str">
        <x:v>common</x:v>
      </x:c>
      <x:c r="G2487" s="30" t="str">
        <x:v>standard</x:v>
      </x:c>
      <x:c r="H2487" s="30" t="str">
        <x:v>year-round</x:v>
      </x:c>
      <x:c r="I248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8">
      <x:c r="A2488" s="36" t="str">
        <x:v>caribbean</x:v>
      </x:c>
      <x:c r="B2488" s="30" t="str">
        <x:v>caribbean-broad-draft-1</x:v>
      </x:c>
      <x:c r="C2488" s="30" t="n">
        <x:v>22445</x:v>
      </x:c>
      <x:c r="D2488" s="32" t="str">
        <x:v>Yellow Split-Toed Frog</x:v>
      </x:c>
      <x:c r="E2488" s="32" t="str">
        <x:v>Eleutherodactylus flavescens</x:v>
      </x:c>
      <x:c r="F2488" s="30" t="str">
        <x:v>common</x:v>
      </x:c>
      <x:c r="G2488" s="30" t="str">
        <x:v>standard</x:v>
      </x:c>
      <x:c r="H2488" s="30" t="str">
        <x:v>year-round</x:v>
      </x:c>
      <x:c r="I248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89">
      <x:c r="A2489" s="36" t="str">
        <x:v>caribbean</x:v>
      </x:c>
      <x:c r="B2489" s="30" t="str">
        <x:v>caribbean-broad-draft-1</x:v>
      </x:c>
      <x:c r="C2489" s="30" t="n">
        <x:v>65443</x:v>
      </x:c>
      <x:c r="D2489" s="32" t="str">
        <x:v>Bahamian Flat-headed Frog</x:v>
      </x:c>
      <x:c r="E2489" s="32" t="str">
        <x:v>Eleutherodactylus rogersi</x:v>
      </x:c>
      <x:c r="F2489" s="30" t="str">
        <x:v>common</x:v>
      </x:c>
      <x:c r="G2489" s="30" t="str">
        <x:v>standard</x:v>
      </x:c>
      <x:c r="H2489" s="30" t="str">
        <x:v>year-round</x:v>
      </x:c>
      <x:c r="I248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0">
      <x:c r="A2490" s="36" t="str">
        <x:v>caribbean</x:v>
      </x:c>
      <x:c r="B2490" s="30" t="str">
        <x:v>caribbean-broad-draft-1</x:v>
      </x:c>
      <x:c r="C2490" s="30" t="n">
        <x:v>22334</x:v>
      </x:c>
      <x:c r="D2490" s="32" t="str">
        <x:v>Hispaniolan Red-Rumped Frog</x:v>
      </x:c>
      <x:c r="E2490" s="32" t="str">
        <x:v>Eleutherodactylus weinlandi</x:v>
      </x:c>
      <x:c r="F2490" s="30" t="str">
        <x:v>common</x:v>
      </x:c>
      <x:c r="G2490" s="30" t="str">
        <x:v>standard</x:v>
      </x:c>
      <x:c r="H2490" s="30" t="str">
        <x:v>year-round</x:v>
      </x:c>
      <x:c r="I249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1">
      <x:c r="A2491" s="36" t="str">
        <x:v>caribbean</x:v>
      </x:c>
      <x:c r="B2491" s="30" t="str">
        <x:v>caribbean-broad-draft-1</x:v>
      </x:c>
      <x:c r="C2491" s="30" t="n">
        <x:v>22411</x:v>
      </x:c>
      <x:c r="D2491" s="32" t="str">
        <x:v>Forest Coqui</x:v>
      </x:c>
      <x:c r="E2491" s="32" t="str">
        <x:v>Eleutherodactylus portoricensis</x:v>
      </x:c>
      <x:c r="F2491" s="30" t="str">
        <x:v>common</x:v>
      </x:c>
      <x:c r="G2491" s="30" t="str">
        <x:v>standard</x:v>
      </x:c>
      <x:c r="H2491" s="30" t="str">
        <x:v>year-round</x:v>
      </x:c>
      <x:c r="I249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2">
      <x:c r="A2492" s="36" t="str">
        <x:v>caribbean</x:v>
      </x:c>
      <x:c r="B2492" s="30" t="str">
        <x:v>caribbean-broad-draft-1</x:v>
      </x:c>
      <x:c r="C2492" s="30" t="n">
        <x:v>66347</x:v>
      </x:c>
      <x:c r="D2492" s="32" t="str">
        <x:v>Puerto Rican Crested Toad</x:v>
      </x:c>
      <x:c r="E2492" s="32" t="str">
        <x:v>Peltophryne lemur</x:v>
      </x:c>
      <x:c r="F2492" s="30" t="str">
        <x:v>common</x:v>
      </x:c>
      <x:c r="G2492" s="30" t="str">
        <x:v>standard</x:v>
      </x:c>
      <x:c r="H2492" s="30" t="str">
        <x:v>year-round</x:v>
      </x:c>
      <x:c r="I249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3">
      <x:c r="A2493" s="36" t="str">
        <x:v>caribbean</x:v>
      </x:c>
      <x:c r="B2493" s="30" t="str">
        <x:v>caribbean-broad-draft-1</x:v>
      </x:c>
      <x:c r="C2493" s="30" t="n">
        <x:v>70617</x:v>
      </x:c>
      <x:c r="D2493" s="32" t="str">
        <x:v>Coastal Red-Rumped Frog</x:v>
      </x:c>
      <x:c r="E2493" s="32" t="str">
        <x:v>Eleutherodactylus paralius</x:v>
      </x:c>
      <x:c r="F2493" s="30" t="str">
        <x:v>common</x:v>
      </x:c>
      <x:c r="G2493" s="30" t="str">
        <x:v>standard</x:v>
      </x:c>
      <x:c r="H2493" s="30" t="str">
        <x:v>year-round</x:v>
      </x:c>
      <x:c r="I249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4">
      <x:c r="A2494" s="36" t="str">
        <x:v>caribbean</x:v>
      </x:c>
      <x:c r="B2494" s="30" t="str">
        <x:v>caribbean-broad-draft-1</x:v>
      </x:c>
      <x:c r="C2494" s="30" t="n">
        <x:v>24378</x:v>
      </x:c>
      <x:c r="D2494" s="32" t="str">
        <x:v>Jamaican Laughing Frog</x:v>
      </x:c>
      <x:c r="E2494" s="32" t="str">
        <x:v>Osteopilus ocellatus</x:v>
      </x:c>
      <x:c r="F2494" s="30" t="str">
        <x:v>common</x:v>
      </x:c>
      <x:c r="G2494" s="30" t="str">
        <x:v>standard</x:v>
      </x:c>
      <x:c r="H2494" s="30" t="str">
        <x:v>year-round</x:v>
      </x:c>
      <x:c r="I249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5">
      <x:c r="A2495" s="36" t="str">
        <x:v>caribbean</x:v>
      </x:c>
      <x:c r="B2495" s="30" t="str">
        <x:v>caribbean-broad-draft-1</x:v>
      </x:c>
      <x:c r="C2495" s="30" t="n">
        <x:v>24375</x:v>
      </x:c>
      <x:c r="D2495" s="32" t="str">
        <x:v>Hispaniolan Giant Tree Frog</x:v>
      </x:c>
      <x:c r="E2495" s="32" t="str">
        <x:v>Osteopilus vastus</x:v>
      </x:c>
      <x:c r="F2495" s="30" t="str">
        <x:v>common</x:v>
      </x:c>
      <x:c r="G2495" s="30" t="str">
        <x:v>standard</x:v>
      </x:c>
      <x:c r="H2495" s="30" t="str">
        <x:v>year-round</x:v>
      </x:c>
      <x:c r="I249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6">
      <x:c r="A2496" s="36" t="str">
        <x:v>caribbean</x:v>
      </x:c>
      <x:c r="B2496" s="30" t="str">
        <x:v>caribbean-broad-draft-1</x:v>
      </x:c>
      <x:c r="C2496" s="30" t="n">
        <x:v>22375</x:v>
      </x:c>
      <x:c r="D2496" s="32" t="str">
        <x:v>Spaldings Robber Frog</x:v>
      </x:c>
      <x:c r="E2496" s="32" t="str">
        <x:v>Eleutherodactylus gossei</x:v>
      </x:c>
      <x:c r="F2496" s="30" t="str">
        <x:v>common</x:v>
      </x:c>
      <x:c r="G2496" s="30" t="str">
        <x:v>standard</x:v>
      </x:c>
      <x:c r="H2496" s="30" t="str">
        <x:v>year-round</x:v>
      </x:c>
      <x:c r="I249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7">
      <x:c r="A2497" s="36" t="str">
        <x:v>caribbean</x:v>
      </x:c>
      <x:c r="B2497" s="30" t="str">
        <x:v>caribbean-broad-draft-1</x:v>
      </x:c>
      <x:c r="C2497" s="30" t="n">
        <x:v>555111</x:v>
      </x:c>
      <x:c r="D2497" s="32" t="str">
        <x:v>Hispaniolan Green Tree Frog</x:v>
      </x:c>
      <x:c r="E2497" s="32" t="str">
        <x:v>Boana heilprini</x:v>
      </x:c>
      <x:c r="F2497" s="30" t="str">
        <x:v>common</x:v>
      </x:c>
      <x:c r="G2497" s="30" t="str">
        <x:v>standard</x:v>
      </x:c>
      <x:c r="H2497" s="30" t="str">
        <x:v>year-round</x:v>
      </x:c>
      <x:c r="I249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8">
      <x:c r="A2498" s="36" t="str">
        <x:v>caribbean</x:v>
      </x:c>
      <x:c r="B2498" s="30" t="str">
        <x:v>caribbean-broad-draft-1</x:v>
      </x:c>
      <x:c r="C2498" s="30" t="n">
        <x:v>22384</x:v>
      </x:c>
      <x:c r="D2498" s="32" t="str">
        <x:v>Mute Coqui</x:v>
      </x:c>
      <x:c r="E2498" s="32" t="str">
        <x:v>Eleutherodactylus lentus</x:v>
      </x:c>
      <x:c r="F2498" s="30" t="str">
        <x:v>common</x:v>
      </x:c>
      <x:c r="G2498" s="30" t="str">
        <x:v>standard</x:v>
      </x:c>
      <x:c r="H2498" s="30" t="str">
        <x:v>year-round</x:v>
      </x:c>
      <x:c r="I249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499">
      <x:c r="A2499" s="36" t="str">
        <x:v>caribbean</x:v>
      </x:c>
      <x:c r="B2499" s="30" t="str">
        <x:v>caribbean-broad-draft-1</x:v>
      </x:c>
      <x:c r="C2499" s="30" t="n">
        <x:v>22636</x:v>
      </x:c>
      <x:c r="D2499" s="32" t="str">
        <x:v>Cuban Groin-spot Frog</x:v>
      </x:c>
      <x:c r="E2499" s="32" t="str">
        <x:v>Eleutherodactylus atkinsi</x:v>
      </x:c>
      <x:c r="F2499" s="30" t="str">
        <x:v>common</x:v>
      </x:c>
      <x:c r="G2499" s="30" t="str">
        <x:v>standard</x:v>
      </x:c>
      <x:c r="H2499" s="30" t="str">
        <x:v>year-round</x:v>
      </x:c>
      <x:c r="I249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0">
      <x:c r="A2500" s="36" t="str">
        <x:v>caribbean</x:v>
      </x:c>
      <x:c r="B2500" s="30" t="str">
        <x:v>caribbean-broad-draft-1</x:v>
      </x:c>
      <x:c r="C2500" s="30" t="n">
        <x:v>24360</x:v>
      </x:c>
      <x:c r="D2500" s="32" t="str">
        <x:v>Venezuela Snouted Tree Frog</x:v>
      </x:c>
      <x:c r="E2500" s="32" t="str">
        <x:v>Scinax x-signatus</x:v>
      </x:c>
      <x:c r="F2500" s="30" t="str">
        <x:v>common</x:v>
      </x:c>
      <x:c r="G2500" s="30" t="str">
        <x:v>standard</x:v>
      </x:c>
      <x:c r="H2500" s="30" t="str">
        <x:v>year-round</x:v>
      </x:c>
      <x:c r="I250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1">
      <x:c r="A2501" s="36" t="str">
        <x:v>caribbean</x:v>
      </x:c>
      <x:c r="B2501" s="30" t="str">
        <x:v>caribbean-broad-draft-1</x:v>
      </x:c>
      <x:c r="C2501" s="30" t="n">
        <x:v>22423</x:v>
      </x:c>
      <x:c r="D2501" s="32" t="str">
        <x:v>Ground Coqui</x:v>
      </x:c>
      <x:c r="E2501" s="32" t="str">
        <x:v>Eleutherodactylus richmondi</x:v>
      </x:c>
      <x:c r="F2501" s="30" t="str">
        <x:v>common</x:v>
      </x:c>
      <x:c r="G2501" s="30" t="str">
        <x:v>standard</x:v>
      </x:c>
      <x:c r="H2501" s="30" t="str">
        <x:v>year-round</x:v>
      </x:c>
      <x:c r="I250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2">
      <x:c r="A2502" s="36" t="str">
        <x:v>caribbean</x:v>
      </x:c>
      <x:c r="B2502" s="30" t="str">
        <x:v>caribbean-broad-draft-1</x:v>
      </x:c>
      <x:c r="C2502" s="30" t="n">
        <x:v>22663</x:v>
      </x:c>
      <x:c r="D2502" s="32" t="str">
        <x:v>Monte Iberia Eleuth</x:v>
      </x:c>
      <x:c r="E2502" s="32" t="str">
        <x:v>Eleutherodactylus iberia</x:v>
      </x:c>
      <x:c r="F2502" s="30" t="str">
        <x:v>common</x:v>
      </x:c>
      <x:c r="G2502" s="30" t="str">
        <x:v>standard</x:v>
      </x:c>
      <x:c r="H2502" s="30" t="str">
        <x:v>year-round</x:v>
      </x:c>
      <x:c r="I250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3">
      <x:c r="A2503" s="36" t="str">
        <x:v>caribbean</x:v>
      </x:c>
      <x:c r="B2503" s="30" t="str">
        <x:v>caribbean-broad-draft-1</x:v>
      </x:c>
      <x:c r="C2503" s="30" t="n">
        <x:v>22376</x:v>
      </x:c>
      <x:c r="D2503" s="32" t="str">
        <x:v>Jamaican Rockfrog</x:v>
      </x:c>
      <x:c r="E2503" s="32" t="str">
        <x:v>Eleutherodactylus cundalli</x:v>
      </x:c>
      <x:c r="F2503" s="30" t="str">
        <x:v>common</x:v>
      </x:c>
      <x:c r="G2503" s="30" t="str">
        <x:v>standard</x:v>
      </x:c>
      <x:c r="H2503" s="30" t="str">
        <x:v>year-round</x:v>
      </x:c>
      <x:c r="I250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4">
      <x:c r="A2504" s="36" t="str">
        <x:v>caribbean</x:v>
      </x:c>
      <x:c r="B2504" s="30" t="str">
        <x:v>caribbean-broad-draft-1</x:v>
      </x:c>
      <x:c r="C2504" s="30" t="n">
        <x:v>22496</x:v>
      </x:c>
      <x:c r="D2504" s="32" t="str">
        <x:v>Pinchon's Piping Frog</x:v>
      </x:c>
      <x:c r="E2504" s="32" t="str">
        <x:v>Eleutherodactylus pinchoni</x:v>
      </x:c>
      <x:c r="F2504" s="30" t="str">
        <x:v>common</x:v>
      </x:c>
      <x:c r="G2504" s="30" t="str">
        <x:v>standard</x:v>
      </x:c>
      <x:c r="H2504" s="30" t="str">
        <x:v>year-round</x:v>
      </x:c>
      <x:c r="I250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5">
      <x:c r="A2505" s="36" t="str">
        <x:v>caribbean</x:v>
      </x:c>
      <x:c r="B2505" s="30" t="str">
        <x:v>caribbean-broad-draft-1</x:v>
      </x:c>
      <x:c r="C2505" s="30" t="n">
        <x:v>22408</x:v>
      </x:c>
      <x:c r="D2505" s="32" t="str">
        <x:v>Wrinkled Coqui</x:v>
      </x:c>
      <x:c r="E2505" s="32" t="str">
        <x:v>Eleutherodactylus wightmanae</x:v>
      </x:c>
      <x:c r="F2505" s="30" t="str">
        <x:v>common</x:v>
      </x:c>
      <x:c r="G2505" s="30" t="str">
        <x:v>standard</x:v>
      </x:c>
      <x:c r="H2505" s="30" t="str">
        <x:v>year-round</x:v>
      </x:c>
      <x:c r="I250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6">
      <x:c r="A2506" s="36" t="str">
        <x:v>caribbean</x:v>
      </x:c>
      <x:c r="B2506" s="30" t="str">
        <x:v>caribbean-broad-draft-1</x:v>
      </x:c>
      <x:c r="C2506" s="30" t="n">
        <x:v>22460</x:v>
      </x:c>
      <x:c r="D2506" s="32" t="str">
        <x:v>Hispaniolan yellow-mottled frog</x:v>
      </x:c>
      <x:c r="E2506" s="32" t="str">
        <x:v>Eleutherodactylus pictissimus</x:v>
      </x:c>
      <x:c r="F2506" s="30" t="str">
        <x:v>common</x:v>
      </x:c>
      <x:c r="G2506" s="30" t="str">
        <x:v>standard</x:v>
      </x:c>
      <x:c r="H2506" s="30" t="str">
        <x:v>year-round</x:v>
      </x:c>
      <x:c r="I250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7">
      <x:c r="A2507" s="36" t="str">
        <x:v>caribbean</x:v>
      </x:c>
      <x:c r="B2507" s="30" t="str">
        <x:v>caribbean-broad-draft-1</x:v>
      </x:c>
      <x:c r="C2507" s="30" t="n">
        <x:v>22456</x:v>
      </x:c>
      <x:c r="D2507" s="32" t="str">
        <x:v>South Island Telegraph Frog</x:v>
      </x:c>
      <x:c r="E2507" s="32" t="str">
        <x:v>Eleutherodactylus audanti</x:v>
      </x:c>
      <x:c r="F2507" s="30" t="str">
        <x:v>common</x:v>
      </x:c>
      <x:c r="G2507" s="30" t="str">
        <x:v>standard</x:v>
      </x:c>
      <x:c r="H2507" s="30" t="str">
        <x:v>year-round</x:v>
      </x:c>
      <x:c r="I250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8">
      <x:c r="A2508" s="36" t="str">
        <x:v>caribbean</x:v>
      </x:c>
      <x:c r="B2508" s="30" t="str">
        <x:v>caribbean-broad-draft-1</x:v>
      </x:c>
      <x:c r="C2508" s="30" t="n">
        <x:v>22369</x:v>
      </x:c>
      <x:c r="D2508" s="32" t="str">
        <x:v>Cook's Robber Frog</x:v>
      </x:c>
      <x:c r="E2508" s="32" t="str">
        <x:v>Eleutherodactylus cooki</x:v>
      </x:c>
      <x:c r="F2508" s="30" t="str">
        <x:v>common</x:v>
      </x:c>
      <x:c r="G2508" s="30" t="str">
        <x:v>standard</x:v>
      </x:c>
      <x:c r="H2508" s="30" t="str">
        <x:v>year-round</x:v>
      </x:c>
      <x:c r="I250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09">
      <x:c r="A2509" s="36" t="str">
        <x:v>caribbean</x:v>
      </x:c>
      <x:c r="B2509" s="30" t="str">
        <x:v>caribbean-broad-draft-1</x:v>
      </x:c>
      <x:c r="C2509" s="30" t="n">
        <x:v>66345</x:v>
      </x:c>
      <x:c r="D2509" s="32" t="str">
        <x:v>Eastern Crested Toad</x:v>
      </x:c>
      <x:c r="E2509" s="32" t="str">
        <x:v>Peltophryne guentheri</x:v>
      </x:c>
      <x:c r="F2509" s="30" t="str">
        <x:v>common</x:v>
      </x:c>
      <x:c r="G2509" s="30" t="str">
        <x:v>standard</x:v>
      </x:c>
      <x:c r="H2509" s="30" t="str">
        <x:v>year-round</x:v>
      </x:c>
      <x:c r="I250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0">
      <x:c r="A2510" s="36" t="str">
        <x:v>caribbean</x:v>
      </x:c>
      <x:c r="B2510" s="30" t="str">
        <x:v>caribbean-broad-draft-1</x:v>
      </x:c>
      <x:c r="C2510" s="30" t="n">
        <x:v>22612</x:v>
      </x:c>
      <x:c r="D2510" s="32" t="str">
        <x:v>Boca de Yuma Frog</x:v>
      </x:c>
      <x:c r="E2510" s="32" t="str">
        <x:v>Eleutherodactylus probolaeus</x:v>
      </x:c>
      <x:c r="F2510" s="30" t="str">
        <x:v>common</x:v>
      </x:c>
      <x:c r="G2510" s="30" t="str">
        <x:v>standard</x:v>
      </x:c>
      <x:c r="H2510" s="30" t="str">
        <x:v>year-round</x:v>
      </x:c>
      <x:c r="I251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1">
      <x:c r="A2511" s="36" t="str">
        <x:v>caribbean</x:v>
      </x:c>
      <x:c r="B2511" s="30" t="str">
        <x:v>caribbean-broad-draft-1</x:v>
      </x:c>
      <x:c r="C2511" s="30" t="n">
        <x:v>22446</x:v>
      </x:c>
      <x:c r="D2511" s="32" t="str">
        <x:v>Baoruco Hammer Frog</x:v>
      </x:c>
      <x:c r="E2511" s="32" t="str">
        <x:v>Eleutherodactylus armstrongi</x:v>
      </x:c>
      <x:c r="F2511" s="30" t="str">
        <x:v>common</x:v>
      </x:c>
      <x:c r="G2511" s="30" t="str">
        <x:v>standard</x:v>
      </x:c>
      <x:c r="H2511" s="30" t="str">
        <x:v>year-round</x:v>
      </x:c>
      <x:c r="I251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2">
      <x:c r="A2512" s="36" t="str">
        <x:v>caribbean</x:v>
      </x:c>
      <x:c r="B2512" s="30" t="str">
        <x:v>caribbean-broad-draft-1</x:v>
      </x:c>
      <x:c r="C2512" s="30" t="n">
        <x:v>66344</x:v>
      </x:c>
      <x:c r="D2512" s="32" t="str">
        <x:v>Western Giant Toad</x:v>
      </x:c>
      <x:c r="E2512" s="32" t="str">
        <x:v>Peltophryne fustiger</x:v>
      </x:c>
      <x:c r="F2512" s="30" t="str">
        <x:v>common</x:v>
      </x:c>
      <x:c r="G2512" s="30" t="str">
        <x:v>standard</x:v>
      </x:c>
      <x:c r="H2512" s="30" t="str">
        <x:v>year-round</x:v>
      </x:c>
      <x:c r="I251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3">
      <x:c r="A2513" s="36" t="str">
        <x:v>caribbean</x:v>
      </x:c>
      <x:c r="B2513" s="30" t="str">
        <x:v>caribbean-broad-draft-1</x:v>
      </x:c>
      <x:c r="C2513" s="30" t="n">
        <x:v>22745</x:v>
      </x:c>
      <x:c r="D2513" s="32" t="str">
        <x:v>Burrowing Coqui</x:v>
      </x:c>
      <x:c r="E2513" s="32" t="str">
        <x:v>Eleutherodactylus unicolor</x:v>
      </x:c>
      <x:c r="F2513" s="30" t="str">
        <x:v>common</x:v>
      </x:c>
      <x:c r="G2513" s="30" t="str">
        <x:v>standard</x:v>
      </x:c>
      <x:c r="H2513" s="30" t="str">
        <x:v>year-round</x:v>
      </x:c>
      <x:c r="I251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4">
      <x:c r="A2514" s="36" t="str">
        <x:v>caribbean</x:v>
      </x:c>
      <x:c r="B2514" s="30" t="str">
        <x:v>caribbean-broad-draft-1</x:v>
      </x:c>
      <x:c r="C2514" s="30" t="n">
        <x:v>22417</x:v>
      </x:c>
      <x:c r="D2514" s="32" t="str">
        <x:v>La Selle Red-Legged Frog</x:v>
      </x:c>
      <x:c r="E2514" s="32" t="str">
        <x:v>Eleutherodactylus furcyensis</x:v>
      </x:c>
      <x:c r="F2514" s="30" t="str">
        <x:v>common</x:v>
      </x:c>
      <x:c r="G2514" s="30" t="str">
        <x:v>standard</x:v>
      </x:c>
      <x:c r="H2514" s="30" t="str">
        <x:v>year-round</x:v>
      </x:c>
      <x:c r="I251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5">
      <x:c r="A2515" s="36" t="str">
        <x:v>caribbean</x:v>
      </x:c>
      <x:c r="B2515" s="30" t="str">
        <x:v>caribbean-broad-draft-1</x:v>
      </x:c>
      <x:c r="C2515" s="30" t="n">
        <x:v>22440</x:v>
      </x:c>
      <x:c r="D2515" s="32" t="str">
        <x:v>Mona Coqui</x:v>
      </x:c>
      <x:c r="E2515" s="32" t="str">
        <x:v>Eleutherodactylus monensis</x:v>
      </x:c>
      <x:c r="F2515" s="30" t="str">
        <x:v>uncommon</x:v>
      </x:c>
      <x:c r="G2515" s="30" t="str">
        <x:v>standard</x:v>
      </x:c>
      <x:c r="H2515" s="30" t="str">
        <x:v>year-round</x:v>
      </x:c>
      <x:c r="I251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6">
      <x:c r="A2516" s="36" t="str">
        <x:v>caribbean</x:v>
      </x:c>
      <x:c r="B2516" s="30" t="str">
        <x:v>caribbean-broad-draft-1</x:v>
      </x:c>
      <x:c r="C2516" s="30" t="n">
        <x:v>22752</x:v>
      </x:c>
      <x:c r="D2516" s="32" t="str">
        <x:v>Jamaican Yellow-bellied Frog</x:v>
      </x:c>
      <x:c r="E2516" s="32" t="str">
        <x:v>Eleutherodactylus pantoni</x:v>
      </x:c>
      <x:c r="F2516" s="30" t="str">
        <x:v>uncommon</x:v>
      </x:c>
      <x:c r="G2516" s="30" t="str">
        <x:v>standard</x:v>
      </x:c>
      <x:c r="H2516" s="30" t="str">
        <x:v>year-round</x:v>
      </x:c>
      <x:c r="I251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7">
      <x:c r="A2517" s="36" t="str">
        <x:v>caribbean</x:v>
      </x:c>
      <x:c r="B2517" s="30" t="str">
        <x:v>caribbean-broad-draft-1</x:v>
      </x:c>
      <x:c r="C2517" s="30" t="n">
        <x:v>66350</x:v>
      </x:c>
      <x:c r="D2517" s="32" t="str">
        <x:v>Cuban Spotted Toad</x:v>
      </x:c>
      <x:c r="E2517" s="32" t="str">
        <x:v>Peltophryne taladai</x:v>
      </x:c>
      <x:c r="F2517" s="30" t="str">
        <x:v>uncommon</x:v>
      </x:c>
      <x:c r="G2517" s="30" t="str">
        <x:v>standard</x:v>
      </x:c>
      <x:c r="H2517" s="30" t="str">
        <x:v>year-round</x:v>
      </x:c>
      <x:c r="I251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8">
      <x:c r="A2518" s="36" t="str">
        <x:v>caribbean</x:v>
      </x:c>
      <x:c r="B2518" s="30" t="str">
        <x:v>caribbean-broad-draft-1</x:v>
      </x:c>
      <x:c r="C2518" s="30" t="n">
        <x:v>22236</x:v>
      </x:c>
      <x:c r="D2518" s="32" t="str">
        <x:v>Blue Mountain Rockfrog</x:v>
      </x:c>
      <x:c r="E2518" s="32" t="str">
        <x:v>Eleutherodactylus glaucoreius</x:v>
      </x:c>
      <x:c r="F2518" s="30" t="str">
        <x:v>uncommon</x:v>
      </x:c>
      <x:c r="G2518" s="30" t="str">
        <x:v>standard</x:v>
      </x:c>
      <x:c r="H2518" s="30" t="str">
        <x:v>year-round</x:v>
      </x:c>
      <x:c r="I251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19">
      <x:c r="A2519" s="36" t="str">
        <x:v>caribbean</x:v>
      </x:c>
      <x:c r="B2519" s="30" t="str">
        <x:v>caribbean-broad-draft-1</x:v>
      </x:c>
      <x:c r="C2519" s="30" t="n">
        <x:v>22120</x:v>
      </x:c>
      <x:c r="D2519" s="32" t="str">
        <x:v>Barahona Rock Frog</x:v>
      </x:c>
      <x:c r="E2519" s="32" t="str">
        <x:v>Eleutherodactylus alcoae</x:v>
      </x:c>
      <x:c r="F2519" s="30" t="str">
        <x:v>uncommon</x:v>
      </x:c>
      <x:c r="G2519" s="30" t="str">
        <x:v>standard</x:v>
      </x:c>
      <x:c r="H2519" s="30" t="str">
        <x:v>year-round</x:v>
      </x:c>
      <x:c r="I251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0">
      <x:c r="A2520" s="36" t="str">
        <x:v>caribbean</x:v>
      </x:c>
      <x:c r="B2520" s="30" t="str">
        <x:v>caribbean-broad-draft-1</x:v>
      </x:c>
      <x:c r="C2520" s="30" t="n">
        <x:v>22581</x:v>
      </x:c>
      <x:c r="D2520" s="32" t="str">
        <x:v>Miniature Robber Frog</x:v>
      </x:c>
      <x:c r="E2520" s="32" t="str">
        <x:v>Eleutherodactylus dimidiatus</x:v>
      </x:c>
      <x:c r="F2520" s="30" t="str">
        <x:v>uncommon</x:v>
      </x:c>
      <x:c r="G2520" s="30" t="str">
        <x:v>standard</x:v>
      </x:c>
      <x:c r="H2520" s="30" t="str">
        <x:v>year-round</x:v>
      </x:c>
      <x:c r="I252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1">
      <x:c r="A2521" s="36" t="str">
        <x:v>caribbean</x:v>
      </x:c>
      <x:c r="B2521" s="30" t="str">
        <x:v>caribbean-broad-draft-1</x:v>
      </x:c>
      <x:c r="C2521" s="30" t="n">
        <x:v>22617</x:v>
      </x:c>
      <x:c r="D2521" s="32" t="str">
        <x:v>Hispaniolan Montane Frog</x:v>
      </x:c>
      <x:c r="E2521" s="32" t="str">
        <x:v>Eleutherodactylus montanus</x:v>
      </x:c>
      <x:c r="F2521" s="30" t="str">
        <x:v>uncommon</x:v>
      </x:c>
      <x:c r="G2521" s="30" t="str">
        <x:v>standard</x:v>
      </x:c>
      <x:c r="H2521" s="30" t="str">
        <x:v>year-round</x:v>
      </x:c>
      <x:c r="I252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2">
      <x:c r="A2522" s="36" t="str">
        <x:v>caribbean</x:v>
      </x:c>
      <x:c r="B2522" s="30" t="str">
        <x:v>caribbean-broad-draft-1</x:v>
      </x:c>
      <x:c r="C2522" s="30" t="n">
        <x:v>22478</x:v>
      </x:c>
      <x:c r="D2522" s="32" t="str">
        <x:v>Zeus' Robber Frog</x:v>
      </x:c>
      <x:c r="E2522" s="32" t="str">
        <x:v>Eleutherodactylus zeus</x:v>
      </x:c>
      <x:c r="F2522" s="30" t="str">
        <x:v>uncommon</x:v>
      </x:c>
      <x:c r="G2522" s="30" t="str">
        <x:v>standard</x:v>
      </x:c>
      <x:c r="H2522" s="30" t="str">
        <x:v>year-round</x:v>
      </x:c>
      <x:c r="I252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3">
      <x:c r="A2523" s="36" t="str">
        <x:v>caribbean</x:v>
      </x:c>
      <x:c r="B2523" s="30" t="str">
        <x:v>caribbean-broad-draft-1</x:v>
      </x:c>
      <x:c r="C2523" s="30" t="n">
        <x:v>22632</x:v>
      </x:c>
      <x:c r="D2523" s="32" t="str">
        <x:v>Eastern Cuba Robber Frog</x:v>
      </x:c>
      <x:c r="E2523" s="32" t="str">
        <x:v>Eleutherodactylus auriculatus</x:v>
      </x:c>
      <x:c r="F2523" s="30" t="str">
        <x:v>uncommon</x:v>
      </x:c>
      <x:c r="G2523" s="30" t="str">
        <x:v>standard</x:v>
      </x:c>
      <x:c r="H2523" s="30" t="str">
        <x:v>year-round</x:v>
      </x:c>
      <x:c r="I252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4">
      <x:c r="A2524" s="36" t="str">
        <x:v>caribbean</x:v>
      </x:c>
      <x:c r="B2524" s="30" t="str">
        <x:v>caribbean-broad-draft-1</x:v>
      </x:c>
      <x:c r="C2524" s="30" t="n">
        <x:v>22614</x:v>
      </x:c>
      <x:c r="D2524" s="32" t="str">
        <x:v>Etheridge's Robber Frog</x:v>
      </x:c>
      <x:c r="E2524" s="32" t="str">
        <x:v>Eleutherodactylus etheridgei</x:v>
      </x:c>
      <x:c r="F2524" s="30" t="str">
        <x:v>uncommon</x:v>
      </x:c>
      <x:c r="G2524" s="30" t="str">
        <x:v>standard</x:v>
      </x:c>
      <x:c r="H2524" s="30" t="str">
        <x:v>year-round</x:v>
      </x:c>
      <x:c r="I252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5">
      <x:c r="A2525" s="36" t="str">
        <x:v>caribbean</x:v>
      </x:c>
      <x:c r="B2525" s="30" t="str">
        <x:v>caribbean-broad-draft-1</x:v>
      </x:c>
      <x:c r="C2525" s="30" t="n">
        <x:v>22619</x:v>
      </x:c>
      <x:c r="D2525" s="32" t="str">
        <x:v>Tree-hole Coqui</x:v>
      </x:c>
      <x:c r="E2525" s="32" t="str">
        <x:v>Eleutherodactylus hedricki</x:v>
      </x:c>
      <x:c r="F2525" s="30" t="str">
        <x:v>uncommon</x:v>
      </x:c>
      <x:c r="G2525" s="30" t="str">
        <x:v>standard</x:v>
      </x:c>
      <x:c r="H2525" s="30" t="str">
        <x:v>year-round</x:v>
      </x:c>
      <x:c r="I252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6">
      <x:c r="A2526" s="36" t="str">
        <x:v>caribbean</x:v>
      </x:c>
      <x:c r="B2526" s="30" t="str">
        <x:v>caribbean-broad-draft-1</x:v>
      </x:c>
      <x:c r="C2526" s="30" t="n">
        <x:v>22718</x:v>
      </x:c>
      <x:c r="D2526" s="32" t="str">
        <x:v>John Crow Yellow-bellied Frog</x:v>
      </x:c>
      <x:c r="E2526" s="32" t="str">
        <x:v>Eleutherodactylus pentasyringos</x:v>
      </x:c>
      <x:c r="F2526" s="30" t="str">
        <x:v>uncommon</x:v>
      </x:c>
      <x:c r="G2526" s="30" t="str">
        <x:v>standard</x:v>
      </x:c>
      <x:c r="H2526" s="30" t="str">
        <x:v>year-round</x:v>
      </x:c>
      <x:c r="I252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7">
      <x:c r="A2527" s="36" t="str">
        <x:v>caribbean</x:v>
      </x:c>
      <x:c r="B2527" s="30" t="str">
        <x:v>caribbean-broad-draft-1</x:v>
      </x:c>
      <x:c r="C2527" s="30" t="n">
        <x:v>22190</x:v>
      </x:c>
      <x:c r="D2527" s="32" t="str">
        <x:v>Spiny Giant Frog</x:v>
      </x:c>
      <x:c r="E2527" s="32" t="str">
        <x:v>Eleutherodactylus nortoni</x:v>
      </x:c>
      <x:c r="F2527" s="30" t="str">
        <x:v>uncommon</x:v>
      </x:c>
      <x:c r="G2527" s="30" t="str">
        <x:v>standard</x:v>
      </x:c>
      <x:c r="H2527" s="30" t="str">
        <x:v>year-round</x:v>
      </x:c>
      <x:c r="I252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8">
      <x:c r="A2528" s="36" t="str">
        <x:v>caribbean</x:v>
      </x:c>
      <x:c r="B2528" s="30" t="str">
        <x:v>caribbean-broad-draft-1</x:v>
      </x:c>
      <x:c r="C2528" s="30" t="n">
        <x:v>22453</x:v>
      </x:c>
      <x:c r="D2528" s="32" t="str">
        <x:v>Tiburon Whistling Frog</x:v>
      </x:c>
      <x:c r="E2528" s="32" t="str">
        <x:v>Eleutherodactylus wetmorei</x:v>
      </x:c>
      <x:c r="F2528" s="30" t="str">
        <x:v>uncommon</x:v>
      </x:c>
      <x:c r="G2528" s="30" t="str">
        <x:v>standard</x:v>
      </x:c>
      <x:c r="H2528" s="30" t="str">
        <x:v>year-round</x:v>
      </x:c>
      <x:c r="I252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29">
      <x:c r="A2529" s="36" t="str">
        <x:v>caribbean</x:v>
      </x:c>
      <x:c r="B2529" s="30" t="str">
        <x:v>caribbean-broad-draft-1</x:v>
      </x:c>
      <x:c r="C2529" s="30" t="n">
        <x:v>22374</x:v>
      </x:c>
      <x:c r="D2529" s="32" t="str">
        <x:v>Jamaican Red-eyed Frog</x:v>
      </x:c>
      <x:c r="E2529" s="32" t="str">
        <x:v>Eleutherodactylus nubicola</x:v>
      </x:c>
      <x:c r="F2529" s="30" t="str">
        <x:v>uncommon</x:v>
      </x:c>
      <x:c r="G2529" s="30" t="str">
        <x:v>standard</x:v>
      </x:c>
      <x:c r="H2529" s="30" t="str">
        <x:v>year-round</x:v>
      </x:c>
      <x:c r="I252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0">
      <x:c r="A2530" s="36" t="str">
        <x:v>caribbean</x:v>
      </x:c>
      <x:c r="B2530" s="30" t="str">
        <x:v>caribbean-broad-draft-1</x:v>
      </x:c>
      <x:c r="C2530" s="30" t="n">
        <x:v>24376</x:v>
      </x:c>
      <x:c r="D2530" s="32" t="str">
        <x:v>Hispaniolan Yellow Tree Frog</x:v>
      </x:c>
      <x:c r="E2530" s="32" t="str">
        <x:v>Osteopilus pulchrilineatus</x:v>
      </x:c>
      <x:c r="F2530" s="30" t="str">
        <x:v>uncommon</x:v>
      </x:c>
      <x:c r="G2530" s="30" t="str">
        <x:v>standard</x:v>
      </x:c>
      <x:c r="H2530" s="30" t="str">
        <x:v>year-round</x:v>
      </x:c>
      <x:c r="I253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1">
      <x:c r="A2531" s="36" t="str">
        <x:v>caribbean</x:v>
      </x:c>
      <x:c r="B2531" s="30" t="str">
        <x:v>caribbean-broad-draft-1</x:v>
      </x:c>
      <x:c r="C2531" s="30" t="n">
        <x:v>24322</x:v>
      </x:c>
      <x:c r="D2531" s="32" t="str">
        <x:v>Red Snouted Tree Frog</x:v>
      </x:c>
      <x:c r="E2531" s="32" t="str">
        <x:v>Scinax ruber</x:v>
      </x:c>
      <x:c r="F2531" s="30" t="str">
        <x:v>uncommon</x:v>
      </x:c>
      <x:c r="G2531" s="30" t="str">
        <x:v>standard</x:v>
      </x:c>
      <x:c r="H2531" s="30" t="str">
        <x:v>year-round</x:v>
      </x:c>
      <x:c r="I253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2">
      <x:c r="A2532" s="36" t="str">
        <x:v>caribbean</x:v>
      </x:c>
      <x:c r="B2532" s="30" t="str">
        <x:v>caribbean-broad-draft-1</x:v>
      </x:c>
      <x:c r="C2532" s="30" t="n">
        <x:v>1668858</x:v>
      </x:c>
      <x:c r="D2532" s="32" t="str">
        <x:v>Green Treefrog</x:v>
      </x:c>
      <x:c r="E2532" s="32" t="str">
        <x:v>Dryophytes cinereus</x:v>
      </x:c>
      <x:c r="F2532" s="30" t="str">
        <x:v>rare</x:v>
      </x:c>
      <x:c r="G2532" s="30" t="str">
        <x:v>standard</x:v>
      </x:c>
      <x:c r="H2532" s="30" t="str">
        <x:v>year-round</x:v>
      </x:c>
      <x:c r="I253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3">
      <x:c r="A2533" s="36" t="str">
        <x:v>caribbean</x:v>
      </x:c>
      <x:c r="B2533" s="30" t="str">
        <x:v>caribbean-broad-draft-1</x:v>
      </x:c>
      <x:c r="C2533" s="30" t="n">
        <x:v>22413</x:v>
      </x:c>
      <x:c r="D2533" s="32" t="str">
        <x:v>Hispaniola Cordillera Frog</x:v>
      </x:c>
      <x:c r="E2533" s="32" t="str">
        <x:v>Eleutherodactylus patriciae</x:v>
      </x:c>
      <x:c r="F2533" s="30" t="str">
        <x:v>uncommon</x:v>
      </x:c>
      <x:c r="G2533" s="30" t="str">
        <x:v>standard</x:v>
      </x:c>
      <x:c r="H2533" s="30" t="str">
        <x:v>year-round</x:v>
      </x:c>
      <x:c r="I2533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4">
      <x:c r="A2534" s="36" t="str">
        <x:v>caribbean</x:v>
      </x:c>
      <x:c r="B2534" s="30" t="str">
        <x:v>caribbean-broad-draft-1</x:v>
      </x:c>
      <x:c r="C2534" s="30" t="n">
        <x:v>66340</x:v>
      </x:c>
      <x:c r="D2534" s="32" t="str">
        <x:v>Cuban Small-eared Toad</x:v>
      </x:c>
      <x:c r="E2534" s="32" t="str">
        <x:v>Peltophryne empusa</x:v>
      </x:c>
      <x:c r="F2534" s="30" t="str">
        <x:v>rare</x:v>
      </x:c>
      <x:c r="G2534" s="30" t="str">
        <x:v>standard</x:v>
      </x:c>
      <x:c r="H2534" s="30" t="str">
        <x:v>year-round</x:v>
      </x:c>
      <x:c r="I2534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5">
      <x:c r="A2535" s="36" t="str">
        <x:v>caribbean</x:v>
      </x:c>
      <x:c r="B2535" s="30" t="str">
        <x:v>caribbean-broad-draft-1</x:v>
      </x:c>
      <x:c r="C2535" s="30" t="n">
        <x:v>66341</x:v>
      </x:c>
      <x:c r="D2535" s="32" t="str">
        <x:v>Zapata toad</x:v>
      </x:c>
      <x:c r="E2535" s="32" t="str">
        <x:v>Peltophryne florentinoi</x:v>
      </x:c>
      <x:c r="F2535" s="30" t="str">
        <x:v>rare</x:v>
      </x:c>
      <x:c r="G2535" s="30" t="str">
        <x:v>standard</x:v>
      </x:c>
      <x:c r="H2535" s="30" t="str">
        <x:v>year-round</x:v>
      </x:c>
      <x:c r="I2535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6">
      <x:c r="A2536" s="36" t="str">
        <x:v>caribbean</x:v>
      </x:c>
      <x:c r="B2536" s="30" t="str">
        <x:v>caribbean-broad-draft-1</x:v>
      </x:c>
      <x:c r="C2536" s="30" t="n">
        <x:v>22488</x:v>
      </x:c>
      <x:c r="D2536" s="32" t="str">
        <x:v>Yellow Cave Frog</x:v>
      </x:c>
      <x:c r="E2536" s="32" t="str">
        <x:v>Eleutherodactylus counouspeus</x:v>
      </x:c>
      <x:c r="F2536" s="30" t="str">
        <x:v>rare</x:v>
      </x:c>
      <x:c r="G2536" s="30" t="str">
        <x:v>standard</x:v>
      </x:c>
      <x:c r="H2536" s="30" t="str">
        <x:v>year-round</x:v>
      </x:c>
      <x:c r="I2536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7">
      <x:c r="A2537" s="36" t="str">
        <x:v>caribbean</x:v>
      </x:c>
      <x:c r="B2537" s="30" t="str">
        <x:v>caribbean-broad-draft-1</x:v>
      </x:c>
      <x:c r="C2537" s="30" t="n">
        <x:v>22232</x:v>
      </x:c>
      <x:c r="D2537" s="32" t="str">
        <x:v>Guanahacabibes Robber Frog</x:v>
      </x:c>
      <x:c r="E2537" s="32" t="str">
        <x:v>Eleutherodactylus guanahacabibes</x:v>
      </x:c>
      <x:c r="F2537" s="30" t="str">
        <x:v>rare</x:v>
      </x:c>
      <x:c r="G2537" s="30" t="str">
        <x:v>standard</x:v>
      </x:c>
      <x:c r="H2537" s="30" t="str">
        <x:v>year-round</x:v>
      </x:c>
      <x:c r="I2537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8">
      <x:c r="A2538" s="36" t="str">
        <x:v>caribbean</x:v>
      </x:c>
      <x:c r="B2538" s="30" t="str">
        <x:v>caribbean-broad-draft-1</x:v>
      </x:c>
      <x:c r="C2538" s="30" t="n">
        <x:v>22337</x:v>
      </x:c>
      <x:c r="D2538" s="32" t="str">
        <x:v>Montane Cricket Frog</x:v>
      </x:c>
      <x:c r="E2538" s="32" t="str">
        <x:v>Eleutherodactylus haitianus</x:v>
      </x:c>
      <x:c r="F2538" s="30" t="str">
        <x:v>rare</x:v>
      </x:c>
      <x:c r="G2538" s="30" t="str">
        <x:v>standard</x:v>
      </x:c>
      <x:c r="H2538" s="30" t="str">
        <x:v>year-round</x:v>
      </x:c>
      <x:c r="I2538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39">
      <x:c r="A2539" s="36" t="str">
        <x:v>caribbean</x:v>
      </x:c>
      <x:c r="B2539" s="30" t="str">
        <x:v>caribbean-broad-draft-1</x:v>
      </x:c>
      <x:c r="C2539" s="30" t="n">
        <x:v>24380</x:v>
      </x:c>
      <x:c r="D2539" s="32" t="str">
        <x:v>Jamaican Snoring Frog</x:v>
      </x:c>
      <x:c r="E2539" s="32" t="str">
        <x:v>Osteopilus crucialis</x:v>
      </x:c>
      <x:c r="F2539" s="30" t="str">
        <x:v>rare</x:v>
      </x:c>
      <x:c r="G2539" s="30" t="str">
        <x:v>standard</x:v>
      </x:c>
      <x:c r="H2539" s="30" t="str">
        <x:v>year-round</x:v>
      </x:c>
      <x:c r="I2539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40">
      <x:c r="A2540" s="36" t="str">
        <x:v>caribbean</x:v>
      </x:c>
      <x:c r="B2540" s="30" t="str">
        <x:v>caribbean-broad-draft-1</x:v>
      </x:c>
      <x:c r="C2540" s="30" t="n">
        <x:v>22580</x:v>
      </x:c>
      <x:c r="D2540" s="32" t="str">
        <x:v>Juventud Robber Frog</x:v>
      </x:c>
      <x:c r="E2540" s="32" t="str">
        <x:v>Eleutherodactylus cuneatus</x:v>
      </x:c>
      <x:c r="F2540" s="30" t="str">
        <x:v>very_rare</x:v>
      </x:c>
      <x:c r="G2540" s="30" t="str">
        <x:v>standard</x:v>
      </x:c>
      <x:c r="H2540" s="30" t="str">
        <x:v>year-round</x:v>
      </x:c>
      <x:c r="I2540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41">
      <x:c r="A2541" s="36" t="str">
        <x:v>caribbean</x:v>
      </x:c>
      <x:c r="B2541" s="30" t="str">
        <x:v>caribbean-broad-draft-1</x:v>
      </x:c>
      <x:c r="C2541" s="30" t="n">
        <x:v>22285</x:v>
      </x:c>
      <x:c r="D2541" s="32" t="str">
        <x:v>Ball Bearing Frog</x:v>
      </x:c>
      <x:c r="E2541" s="32" t="str">
        <x:v>Eleutherodactylus glaphycompus</x:v>
      </x:c>
      <x:c r="F2541" s="30" t="str">
        <x:v>rare</x:v>
      </x:c>
      <x:c r="G2541" s="30" t="str">
        <x:v>standard</x:v>
      </x:c>
      <x:c r="H2541" s="30" t="str">
        <x:v>year-round</x:v>
      </x:c>
      <x:c r="I2541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42">
      <x:c r="A2542" s="36" t="str">
        <x:v>caribbean</x:v>
      </x:c>
      <x:c r="B2542" s="30" t="str">
        <x:v>caribbean-broad-draft-1</x:v>
      </x:c>
      <x:c r="C2542" s="30" t="n">
        <x:v>22635</x:v>
      </x:c>
      <x:c r="D2542" s="32" t="str">
        <x:v>Grey's Robber Frog</x:v>
      </x:c>
      <x:c r="E2542" s="32" t="str">
        <x:v>Eleutherodactylus greyi</x:v>
      </x:c>
      <x:c r="F2542" s="30" t="str">
        <x:v>very_rare</x:v>
      </x:c>
      <x:c r="G2542" s="30" t="str">
        <x:v>standard</x:v>
      </x:c>
      <x:c r="H2542" s="30" t="str">
        <x:v>year-round</x:v>
      </x:c>
      <x:c r="I2542" s="37" t="str">
        <x:v>Broad regional field-guide candidate curated from public iNaturalist data; encounter rarity remains under editorial review and is not inferred from report counts. Automated rarity: inaturalist-regional-frequency-v1.</x:v>
      </x:c>
    </x:row>
    <x:row r="2543">
      <x:c r="A2543" s="36" t="str">
        <x:v>caribbean</x:v>
      </x:c>
      <x:c r="B2543" s="30" t="str">
        <x:v>caribbean-broad-draft-1</x:v>
      </x:c>
      <x:c r="C2543" s="30" t="n">
        <x:v>47299</x:v>
      </x:c>
      <x:c r="D2543" s="32" t="str">
        <x:v>Caribbean Spiny Lobster</x:v>
      </x:c>
      <x:c r="E2543" s="32" t="str">
        <x:v>Panulirus argus</x:v>
      </x:c>
      <x:c r="F2543" s="30" t="str">
        <x:v>very_rare</x:v>
      </x:c>
      <x:c r="G2543" s="30" t="str">
        <x:v>standard</x:v>
      </x:c>
      <x:c r="H2543" s="30" t="str">
        <x:v>year-round</x:v>
      </x:c>
      <x:c r="I2543" s="37" t="str">
        <x:v>Owner-managed caribbean essential checklist; imported from caribbean_checklists.csv. Encounter rarity and prestige are curated game metadata. Automated rarity: inaturalist-regional-frequency-v1; no top-page regional count, so retained as a conservative very-rare experimental tier.</x:v>
      </x:c>
    </x:row>
    <x:row r="2544">
      <x:c r="A2544" s="36" t="str">
        <x:v>caribbean</x:v>
      </x:c>
      <x:c r="B2544" s="30" t="str">
        <x:v>caribbean-broad-draft-1</x:v>
      </x:c>
      <x:c r="C2544" s="30" t="n">
        <x:v>188767</x:v>
      </x:c>
      <x:c r="D2544" s="32" t="str">
        <x:v>Caribbean Reef Shark</x:v>
      </x:c>
      <x:c r="E2544" s="32" t="str">
        <x:v>Carcharhinus perezii</x:v>
      </x:c>
      <x:c r="F2544" s="30" t="str">
        <x:v>very_rare</x:v>
      </x:c>
      <x:c r="G2544" s="30" t="str">
        <x:v>standard</x:v>
      </x:c>
      <x:c r="H2544" s="30" t="str">
        <x:v>year-round</x:v>
      </x:c>
      <x:c r="I2544" s="37" t="str">
        <x:v>Owner-managed caribbean essential checklist; imported from caribbean_checklists.csv. Encounter rarity and prestige are curated game metadata. Automated rarity: inaturalist-regional-frequency-v1; no top-page regional count, so retained as a conservative very-rare experimental tier.</x:v>
      </x:c>
    </x:row>
    <x:row r="2545">
      <x:c r="A2545" s="38" t="str">
        <x:v>caribbean</x:v>
      </x:c>
      <x:c r="B2545" s="39" t="str">
        <x:v>caribbean-broad-draft-1</x:v>
      </x:c>
      <x:c r="C2545" s="39" t="n">
        <x:v>35298</x:v>
      </x:c>
      <x:c r="D2545" s="40" t="str">
        <x:v>Jamaica Ground Iguana</x:v>
      </x:c>
      <x:c r="E2545" s="40" t="str">
        <x:v>Cyclura collei</x:v>
      </x:c>
      <x:c r="F2545" s="39" t="str">
        <x:v>very_rare</x:v>
      </x:c>
      <x:c r="G2545" s="39" t="str">
        <x:v>legendary</x:v>
      </x:c>
      <x:c r="H2545" s="39" t="str">
        <x:v>year-round</x:v>
      </x:c>
      <x:c r="I2545" s="41" t="str">
        <x:v>Owner-managed caribbean icon checklist; imported from caribbean_checklists.csv. Encounter rarity and prestige are curated game metadata. Automated rarity: inaturalist-regional-frequency-v1; no top-page regional count, so retained as a conservative very-rare experimental tier.</x:v>
      </x:c>
    </x:row>
  </x:sheetData>
  <x:dataValidations count="2">
    <x:dataValidation type="list" sqref="F2:F2545">
      <x:formula1>"unknown,common,uncommon,rare,very_rare"</x:formula1>
    </x:dataValidation>
    <x:dataValidation type="list" sqref="G2:G2545">
      <x:formula1>"standard,legendary"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b02345209744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32" hidden="0" customWidth="1"/>
    <x:col min="6" max="6" width="36" hidden="0" customWidth="1"/>
  </x:cols>
  <x:sheetData>
    <x:row r="1">
      <x:c r="A1" s="33" t="str">
        <x:v>Region</x:v>
      </x:c>
      <x:c r="B1" s="34" t="str">
        <x:v>List</x:v>
      </x:c>
      <x:c r="C1" s="34" t="str">
        <x:v>Position</x:v>
      </x:c>
      <x:c r="D1" s="34" t="str">
        <x:v>Taxon ID</x:v>
      </x:c>
      <x:c r="E1" s="34" t="str">
        <x:v>Common name (reference)</x:v>
      </x:c>
      <x:c r="F1" s="35" t="str">
        <x:v>Scientific name (reference)</x:v>
      </x:c>
    </x:row>
    <x:row r="2">
      <x:c r="A2" s="49" t="str">
        <x:v>mediterranean_europe</x:v>
      </x:c>
      <x:c r="B2" s="50" t="str">
        <x:v>essential</x:v>
      </x:c>
      <x:c r="C2" s="50" t="n">
        <x:v>1</x:v>
      </x:c>
      <x:c r="D2" s="50" t="n">
        <x:v>13094</x:v>
      </x:c>
      <x:c r="E2" s="43" t="str">
        <x:v>European Robin</x:v>
      </x:c>
      <x:c r="F2" s="44" t="str">
        <x:v>Erithacus rubecula</x:v>
      </x:c>
    </x:row>
    <x:row r="3">
      <x:c r="A3" s="49" t="str">
        <x:v>mediterranean_europe</x:v>
      </x:c>
      <x:c r="B3" s="50" t="str">
        <x:v>essential</x:v>
      </x:c>
      <x:c r="C3" s="50" t="n">
        <x:v>2</x:v>
      </x:c>
      <x:c r="D3" s="50" t="n">
        <x:v>20969</x:v>
      </x:c>
      <x:c r="E3" s="43" t="str">
        <x:v>Common Hoopoe</x:v>
      </x:c>
      <x:c r="F3" s="44" t="str">
        <x:v>Upupa epops</x:v>
      </x:c>
    </x:row>
    <x:row r="4">
      <x:c r="A4" s="49" t="str">
        <x:v>mediterranean_europe</x:v>
      </x:c>
      <x:c r="B4" s="50" t="str">
        <x:v>essential</x:v>
      </x:c>
      <x:c r="C4" s="50" t="n">
        <x:v>3</x:v>
      </x:c>
      <x:c r="D4" s="50" t="n">
        <x:v>2191</x:v>
      </x:c>
      <x:c r="E4" s="43" t="str">
        <x:v>European Bee-eater</x:v>
      </x:c>
      <x:c r="F4" s="44" t="str">
        <x:v>Merops apiaster</x:v>
      </x:c>
    </x:row>
    <x:row r="5">
      <x:c r="A5" s="49" t="str">
        <x:v>mediterranean_europe</x:v>
      </x:c>
      <x:c r="B5" s="50" t="str">
        <x:v>essential</x:v>
      </x:c>
      <x:c r="C5" s="50" t="n">
        <x:v>4</x:v>
      </x:c>
      <x:c r="D5" s="50" t="n">
        <x:v>2599</x:v>
      </x:c>
      <x:c r="E5" s="43" t="str">
        <x:v>Common Kingfisher</x:v>
      </x:c>
      <x:c r="F5" s="44" t="str">
        <x:v>Alcedo atthis</x:v>
      </x:c>
    </x:row>
    <x:row r="6">
      <x:c r="A6" s="49" t="str">
        <x:v>mediterranean_europe</x:v>
      </x:c>
      <x:c r="B6" s="50" t="str">
        <x:v>essential</x:v>
      </x:c>
      <x:c r="C6" s="50" t="n">
        <x:v>5</x:v>
      </x:c>
      <x:c r="D6" s="50" t="n">
        <x:v>5366</x:v>
      </x:c>
      <x:c r="E6" s="43" t="str">
        <x:v>Eurasian Griffon</x:v>
      </x:c>
      <x:c r="F6" s="44" t="str">
        <x:v>Gyps fulvus</x:v>
      </x:c>
    </x:row>
    <x:row r="7">
      <x:c r="A7" s="49" t="str">
        <x:v>mediterranean_europe</x:v>
      </x:c>
      <x:c r="B7" s="50" t="str">
        <x:v>essential</x:v>
      </x:c>
      <x:c r="C7" s="50" t="n">
        <x:v>6</x:v>
      </x:c>
      <x:c r="D7" s="50" t="n">
        <x:v>42350</x:v>
      </x:c>
      <x:c r="E7" s="43" t="str">
        <x:v>Iberian Ibex</x:v>
      </x:c>
      <x:c r="F7" s="44" t="str">
        <x:v>Capra pyrenaica</x:v>
      </x:c>
    </x:row>
    <x:row r="8">
      <x:c r="A8" s="49" t="str">
        <x:v>mediterranean_europe</x:v>
      </x:c>
      <x:c r="B8" s="50" t="str">
        <x:v>essential</x:v>
      </x:c>
      <x:c r="C8" s="50" t="n">
        <x:v>7</x:v>
      </x:c>
      <x:c r="D8" s="50" t="n">
        <x:v>41482</x:v>
      </x:c>
      <x:c r="E8" s="43" t="str">
        <x:v>Common Bottlenose Dolphin</x:v>
      </x:c>
      <x:c r="F8" s="44" t="str">
        <x:v>Tursiops truncatus</x:v>
      </x:c>
    </x:row>
    <x:row r="9">
      <x:c r="A9" s="49" t="str">
        <x:v>mediterranean_europe</x:v>
      </x:c>
      <x:c r="B9" s="50" t="str">
        <x:v>essential</x:v>
      </x:c>
      <x:c r="C9" s="50" t="n">
        <x:v>8</x:v>
      </x:c>
      <x:c r="D9" s="50" t="n">
        <x:v>71212</x:v>
      </x:c>
      <x:c r="E9" s="43" t="str">
        <x:v>Hermann's Tortoise</x:v>
      </x:c>
      <x:c r="F9" s="44" t="str">
        <x:v>Testudo hermanni</x:v>
      </x:c>
    </x:row>
    <x:row r="10">
      <x:c r="A10" s="49" t="str">
        <x:v>mediterranean_europe</x:v>
      </x:c>
      <x:c r="B10" s="50" t="str">
        <x:v>essential</x:v>
      </x:c>
      <x:c r="C10" s="50" t="n">
        <x:v>9</x:v>
      </x:c>
      <x:c r="D10" s="50" t="n">
        <x:v>73972</x:v>
      </x:c>
      <x:c r="E10" s="43" t="str">
        <x:v>Ocellated Lizard</x:v>
      </x:c>
      <x:c r="F10" s="44" t="str">
        <x:v>Timon lepidus</x:v>
      </x:c>
    </x:row>
    <x:row r="11">
      <x:c r="A11" s="49" t="str">
        <x:v>mediterranean_europe</x:v>
      </x:c>
      <x:c r="B11" s="50" t="str">
        <x:v>essential</x:v>
      </x:c>
      <x:c r="C11" s="50" t="n">
        <x:v>10</x:v>
      </x:c>
      <x:c r="D11" s="50" t="n">
        <x:v>73222</x:v>
      </x:c>
      <x:c r="E11" s="43" t="str">
        <x:v>Greater Flamingo</x:v>
      </x:c>
      <x:c r="F11" s="44" t="str">
        <x:v>Phoenicopterus roseus</x:v>
      </x:c>
    </x:row>
    <x:row r="12">
      <x:c r="A12" s="49" t="str">
        <x:v>mediterranean_europe</x:v>
      </x:c>
      <x:c r="B12" s="50" t="str">
        <x:v>icon</x:v>
      </x:c>
      <x:c r="C12" s="50" t="n">
        <x:v>1</x:v>
      </x:c>
      <x:c r="D12" s="50" t="n">
        <x:v>41975</x:v>
      </x:c>
      <x:c r="E12" s="43" t="str">
        <x:v>Iberian Lynx</x:v>
      </x:c>
      <x:c r="F12" s="44" t="str">
        <x:v>Lynx pardinus</x:v>
      </x:c>
    </x:row>
    <x:row r="13">
      <x:c r="A13" s="49" t="str">
        <x:v>mediterranean_europe</x:v>
      </x:c>
      <x:c r="B13" s="50" t="str">
        <x:v>icon</x:v>
      </x:c>
      <x:c r="C13" s="50" t="n">
        <x:v>2</x:v>
      </x:c>
      <x:c r="D13" s="50" t="n">
        <x:v>144467</x:v>
      </x:c>
      <x:c r="E13" s="43" t="str">
        <x:v>Bonelli's Eagle</x:v>
      </x:c>
      <x:c r="F13" s="44" t="str">
        <x:v>Aquila fasciata</x:v>
      </x:c>
    </x:row>
    <x:row r="14">
      <x:c r="A14" s="49" t="str">
        <x:v>mediterranean_europe</x:v>
      </x:c>
      <x:c r="B14" s="50" t="str">
        <x:v>icon</x:v>
      </x:c>
      <x:c r="C14" s="50" t="n">
        <x:v>3</x:v>
      </x:c>
      <x:c r="D14" s="50" t="n">
        <x:v>41850</x:v>
      </x:c>
      <x:c r="E14" s="43" t="str">
        <x:v>Eurasian Otter</x:v>
      </x:c>
      <x:c r="F14" s="44" t="str">
        <x:v>Lutra lutra</x:v>
      </x:c>
    </x:row>
    <x:row r="15">
      <x:c r="A15" s="49" t="str">
        <x:v>mediterranean_europe</x:v>
      </x:c>
      <x:c r="B15" s="50" t="str">
        <x:v>icon</x:v>
      </x:c>
      <x:c r="C15" s="50" t="n">
        <x:v>4</x:v>
      </x:c>
      <x:c r="D15" s="50" t="n">
        <x:v>41716</x:v>
      </x:c>
      <x:c r="E15" s="43" t="str">
        <x:v>Mediterranean Monk Seal</x:v>
      </x:c>
      <x:c r="F15" s="44" t="str">
        <x:v>Monachus monachus</x:v>
      </x:c>
    </x:row>
    <x:row r="16">
      <x:c r="A16" s="49" t="str">
        <x:v>mediterranean_europe</x:v>
      </x:c>
      <x:c r="B16" s="50" t="str">
        <x:v>icon</x:v>
      </x:c>
      <x:c r="C16" s="50" t="n">
        <x:v>5</x:v>
      </x:c>
      <x:c r="D16" s="50" t="n">
        <x:v>5081</x:v>
      </x:c>
      <x:c r="E16" s="43" t="str">
        <x:v>Spanish Eagle</x:v>
      </x:c>
      <x:c r="F16" s="44" t="str">
        <x:v>Aquila adalberti</x:v>
      </x:c>
    </x:row>
    <x:row r="17">
      <x:c r="A17" s="49" t="str">
        <x:v>east_africa</x:v>
      </x:c>
      <x:c r="B17" s="50" t="str">
        <x:v>essential</x:v>
      </x:c>
      <x:c r="C17" s="50" t="n">
        <x:v>1</x:v>
      </x:c>
      <x:c r="D17" s="50" t="n">
        <x:v>1510574</x:v>
      </x:c>
      <x:c r="E17" s="43" t="str">
        <x:v>Maasai Giraffe</x:v>
      </x:c>
      <x:c r="F17" s="44" t="str">
        <x:v>Giraffa tippelskirchi</x:v>
      </x:c>
    </x:row>
    <x:row r="18">
      <x:c r="A18" s="49" t="str">
        <x:v>east_africa</x:v>
      </x:c>
      <x:c r="B18" s="50" t="str">
        <x:v>essential</x:v>
      </x:c>
      <x:c r="C18" s="50" t="n">
        <x:v>2</x:v>
      </x:c>
      <x:c r="D18" s="50" t="n">
        <x:v>43335</x:v>
      </x:c>
      <x:c r="E18" s="43" t="str">
        <x:v>Plains Zebra</x:v>
      </x:c>
      <x:c r="F18" s="44" t="str">
        <x:v>Equus quagga</x:v>
      </x:c>
    </x:row>
    <x:row r="19">
      <x:c r="A19" s="49" t="str">
        <x:v>east_africa</x:v>
      </x:c>
      <x:c r="B19" s="50" t="str">
        <x:v>essential</x:v>
      </x:c>
      <x:c r="C19" s="50" t="n">
        <x:v>3</x:v>
      </x:c>
      <x:c r="D19" s="50" t="n">
        <x:v>42122</x:v>
      </x:c>
      <x:c r="E19" s="43" t="str">
        <x:v>Common Warthog</x:v>
      </x:c>
      <x:c r="F19" s="44" t="str">
        <x:v>Phacochoerus africanus</x:v>
      </x:c>
    </x:row>
    <x:row r="20">
      <x:c r="A20" s="49" t="str">
        <x:v>east_africa</x:v>
      </x:c>
      <x:c r="B20" s="50" t="str">
        <x:v>essential</x:v>
      </x:c>
      <x:c r="C20" s="50" t="n">
        <x:v>4</x:v>
      </x:c>
      <x:c r="D20" s="50" t="n">
        <x:v>42149</x:v>
      </x:c>
      <x:c r="E20" s="43" t="str">
        <x:v>Common Hippopotamus</x:v>
      </x:c>
      <x:c r="F20" s="44" t="str">
        <x:v>Hippopotamus amphibius</x:v>
      </x:c>
    </x:row>
    <x:row r="21">
      <x:c r="A21" s="49" t="str">
        <x:v>east_africa</x:v>
      </x:c>
      <x:c r="B21" s="50" t="str">
        <x:v>essential</x:v>
      </x:c>
      <x:c r="C21" s="50" t="n">
        <x:v>5</x:v>
      </x:c>
      <x:c r="D21" s="50" t="n">
        <x:v>42405</x:v>
      </x:c>
      <x:c r="E21" s="43" t="str">
        <x:v>African Buffalo</x:v>
      </x:c>
      <x:c r="F21" s="44" t="str">
        <x:v>Syncerus caffer</x:v>
      </x:c>
    </x:row>
    <x:row r="22">
      <x:c r="A22" s="49" t="str">
        <x:v>east_africa</x:v>
      </x:c>
      <x:c r="B22" s="50" t="str">
        <x:v>essential</x:v>
      </x:c>
      <x:c r="C22" s="50" t="n">
        <x:v>6</x:v>
      </x:c>
      <x:c r="D22" s="50" t="n">
        <x:v>41886</x:v>
      </x:c>
      <x:c r="E22" s="43" t="str">
        <x:v>Spotted Hyena</x:v>
      </x:c>
      <x:c r="F22" s="44" t="str">
        <x:v>Crocuta crocuta</x:v>
      </x:c>
    </x:row>
    <x:row r="23">
      <x:c r="A23" s="49" t="str">
        <x:v>east_africa</x:v>
      </x:c>
      <x:c r="B23" s="50" t="str">
        <x:v>essential</x:v>
      </x:c>
      <x:c r="C23" s="50" t="n">
        <x:v>7</x:v>
      </x:c>
      <x:c r="D23" s="50" t="n">
        <x:v>341972</x:v>
      </x:c>
      <x:c r="E23" s="43" t="str">
        <x:v>Nile Crocodile</x:v>
      </x:c>
      <x:c r="F23" s="44" t="str">
        <x:v>Crocodylus niloticus</x:v>
      </x:c>
    </x:row>
    <x:row r="24">
      <x:c r="A24" s="49" t="str">
        <x:v>east_africa</x:v>
      </x:c>
      <x:c r="B24" s="50" t="str">
        <x:v>essential</x:v>
      </x:c>
      <x:c r="C24" s="50" t="n">
        <x:v>8</x:v>
      </x:c>
      <x:c r="D24" s="50" t="n">
        <x:v>1505670</x:v>
      </x:c>
      <x:c r="E24" s="43" t="str">
        <x:v>African Fish-Eagle</x:v>
      </x:c>
      <x:c r="F24" s="44" t="str">
        <x:v>Icthyophaga vocifer</x:v>
      </x:c>
    </x:row>
    <x:row r="25">
      <x:c r="A25" s="49" t="str">
        <x:v>east_africa</x:v>
      </x:c>
      <x:c r="B25" s="50" t="str">
        <x:v>essential</x:v>
      </x:c>
      <x:c r="C25" s="50" t="n">
        <x:v>9</x:v>
      </x:c>
      <x:c r="D25" s="50" t="n">
        <x:v>2269</x:v>
      </x:c>
      <x:c r="E25" s="43" t="str">
        <x:v>Lilac-breasted Roller</x:v>
      </x:c>
      <x:c r="F25" s="44" t="str">
        <x:v>Coracias caudatus</x:v>
      </x:c>
    </x:row>
    <x:row r="26">
      <x:c r="A26" s="49" t="str">
        <x:v>east_africa</x:v>
      </x:c>
      <x:c r="B26" s="50" t="str">
        <x:v>essential</x:v>
      </x:c>
      <x:c r="C26" s="50" t="n">
        <x:v>10</x:v>
      </x:c>
      <x:c r="D26" s="50" t="n">
        <x:v>53</x:v>
      </x:c>
      <x:c r="E26" s="43" t="str">
        <x:v>Gray Crowned-Crane</x:v>
      </x:c>
      <x:c r="F26" s="44" t="str">
        <x:v>Balearica regulorum</x:v>
      </x:c>
    </x:row>
    <x:row r="27">
      <x:c r="A27" s="49" t="str">
        <x:v>east_africa</x:v>
      </x:c>
      <x:c r="B27" s="50" t="str">
        <x:v>icon</x:v>
      </x:c>
      <x:c r="C27" s="50" t="n">
        <x:v>1</x:v>
      </x:c>
      <x:c r="D27" s="50" t="n">
        <x:v>43694</x:v>
      </x:c>
      <x:c r="E27" s="43" t="str">
        <x:v>African Savanna Elephant</x:v>
      </x:c>
      <x:c r="F27" s="44" t="str">
        <x:v>Loxodonta africana</x:v>
      </x:c>
    </x:row>
    <x:row r="28">
      <x:c r="A28" s="49" t="str">
        <x:v>east_africa</x:v>
      </x:c>
      <x:c r="B28" s="50" t="str">
        <x:v>icon</x:v>
      </x:c>
      <x:c r="C28" s="50" t="n">
        <x:v>2</x:v>
      </x:c>
      <x:c r="D28" s="50" t="n">
        <x:v>41964</x:v>
      </x:c>
      <x:c r="E28" s="43" t="str">
        <x:v>Lion</x:v>
      </x:c>
      <x:c r="F28" s="44" t="str">
        <x:v>Panthera leo</x:v>
      </x:c>
    </x:row>
    <x:row r="29">
      <x:c r="A29" s="49" t="str">
        <x:v>east_africa</x:v>
      </x:c>
      <x:c r="B29" s="50" t="str">
        <x:v>icon</x:v>
      </x:c>
      <x:c r="C29" s="50" t="n">
        <x:v>3</x:v>
      </x:c>
      <x:c r="D29" s="50" t="n">
        <x:v>41955</x:v>
      </x:c>
      <x:c r="E29" s="43" t="str">
        <x:v>Cheetah</x:v>
      </x:c>
      <x:c r="F29" s="44" t="str">
        <x:v>Acinonyx jubatus</x:v>
      </x:c>
    </x:row>
    <x:row r="30">
      <x:c r="A30" s="49" t="str">
        <x:v>east_africa</x:v>
      </x:c>
      <x:c r="B30" s="50" t="str">
        <x:v>icon</x:v>
      </x:c>
      <x:c r="C30" s="50" t="n">
        <x:v>4</x:v>
      </x:c>
      <x:c r="D30" s="50" t="n">
        <x:v>43350</x:v>
      </x:c>
      <x:c r="E30" s="43" t="str">
        <x:v>Black Rhinoceros</x:v>
      </x:c>
      <x:c r="F30" s="44" t="str">
        <x:v>Diceros bicornis</x:v>
      </x:c>
    </x:row>
    <x:row r="31">
      <x:c r="A31" s="49" t="str">
        <x:v>east_africa</x:v>
      </x:c>
      <x:c r="B31" s="50" t="str">
        <x:v>icon</x:v>
      </x:c>
      <x:c r="C31" s="50" t="n">
        <x:v>5</x:v>
      </x:c>
      <x:c r="D31" s="50" t="n">
        <x:v>147661</x:v>
      </x:c>
      <x:c r="E31" s="43" t="str">
        <x:v>Mountain Gorilla</x:v>
      </x:c>
      <x:c r="F31" s="44" t="str">
        <x:v>Gorilla beringei beringei</x:v>
      </x:c>
    </x:row>
    <x:row r="32">
      <x:c r="A32" s="49" t="str">
        <x:v>caribbean</x:v>
      </x:c>
      <x:c r="B32" s="50" t="str">
        <x:v>essential</x:v>
      </x:c>
      <x:c r="C32" s="50" t="n">
        <x:v>1</x:v>
      </x:c>
      <x:c r="D32" s="50" t="n">
        <x:v>2117</x:v>
      </x:c>
      <x:c r="E32" s="43" t="str">
        <x:v>Cuban Tody</x:v>
      </x:c>
      <x:c r="F32" s="44" t="str">
        <x:v>Todus multicolor</x:v>
      </x:c>
    </x:row>
    <x:row r="33">
      <x:c r="A33" s="49" t="str">
        <x:v>caribbean</x:v>
      </x:c>
      <x:c r="B33" s="50" t="str">
        <x:v>essential</x:v>
      </x:c>
      <x:c r="C33" s="50" t="n">
        <x:v>2</x:v>
      </x:c>
      <x:c r="D33" s="50" t="n">
        <x:v>4257</x:v>
      </x:c>
      <x:c r="E33" s="43" t="str">
        <x:v>American Flamingo</x:v>
      </x:c>
      <x:c r="F33" s="44" t="str">
        <x:v>Phoenicopterus ruber</x:v>
      </x:c>
    </x:row>
    <x:row r="34">
      <x:c r="A34" s="49" t="str">
        <x:v>caribbean</x:v>
      </x:c>
      <x:c r="B34" s="50" t="str">
        <x:v>essential</x:v>
      </x:c>
      <x:c r="C34" s="50" t="n">
        <x:v>3</x:v>
      </x:c>
      <x:c r="D34" s="50" t="n">
        <x:v>47299</x:v>
      </x:c>
      <x:c r="E34" s="43" t="str">
        <x:v>Caribbean Spiny Lobster</x:v>
      </x:c>
      <x:c r="F34" s="44" t="str">
        <x:v>Panulirus argus</x:v>
      </x:c>
    </x:row>
    <x:row r="35">
      <x:c r="A35" s="49" t="str">
        <x:v>caribbean</x:v>
      </x:c>
      <x:c r="B35" s="50" t="str">
        <x:v>essential</x:v>
      </x:c>
      <x:c r="C35" s="50" t="n">
        <x:v>4</x:v>
      </x:c>
      <x:c r="D35" s="50" t="n">
        <x:v>35342</x:v>
      </x:c>
      <x:c r="E35" s="43" t="str">
        <x:v>Green Iguana</x:v>
      </x:c>
      <x:c r="F35" s="44" t="str">
        <x:v>Iguana iguana</x:v>
      </x:c>
    </x:row>
    <x:row r="36">
      <x:c r="A36" s="49" t="str">
        <x:v>caribbean</x:v>
      </x:c>
      <x:c r="B36" s="50" t="str">
        <x:v>essential</x:v>
      </x:c>
      <x:c r="C36" s="50" t="n">
        <x:v>5</x:v>
      </x:c>
      <x:c r="D36" s="50" t="n">
        <x:v>4328</x:v>
      </x:c>
      <x:c r="E36" s="43" t="str">
        <x:v>Brown Pelican</x:v>
      </x:c>
      <x:c r="F36" s="44" t="str">
        <x:v>Pelecanus occidentalis</x:v>
      </x:c>
    </x:row>
    <x:row r="37">
      <x:c r="A37" s="49" t="str">
        <x:v>caribbean</x:v>
      </x:c>
      <x:c r="B37" s="50" t="str">
        <x:v>essential</x:v>
      </x:c>
      <x:c r="C37" s="50" t="n">
        <x:v>6</x:v>
      </x:c>
      <x:c r="D37" s="50" t="n">
        <x:v>22454</x:v>
      </x:c>
      <x:c r="E37" s="43" t="str">
        <x:v>Common Coqui</x:v>
      </x:c>
      <x:c r="F37" s="44" t="str">
        <x:v>Eleutherodactylus coqui</x:v>
      </x:c>
    </x:row>
    <x:row r="38">
      <x:c r="A38" s="49" t="str">
        <x:v>caribbean</x:v>
      </x:c>
      <x:c r="B38" s="50" t="str">
        <x:v>essential</x:v>
      </x:c>
      <x:c r="C38" s="50" t="n">
        <x:v>7</x:v>
      </x:c>
      <x:c r="D38" s="50" t="n">
        <x:v>6377</x:v>
      </x:c>
      <x:c r="E38" s="43" t="str">
        <x:v>Antillean Crested Hummingbird</x:v>
      </x:c>
      <x:c r="F38" s="44" t="str">
        <x:v>Orthorhyncus cristatus</x:v>
      </x:c>
    </x:row>
    <x:row r="39">
      <x:c r="A39" s="49" t="str">
        <x:v>caribbean</x:v>
      </x:c>
      <x:c r="B39" s="50" t="str">
        <x:v>essential</x:v>
      </x:c>
      <x:c r="C39" s="50" t="n">
        <x:v>8</x:v>
      </x:c>
      <x:c r="D39" s="50" t="n">
        <x:v>188767</x:v>
      </x:c>
      <x:c r="E39" s="43" t="str">
        <x:v>Caribbean Reef Shark</x:v>
      </x:c>
      <x:c r="F39" s="44" t="str">
        <x:v>Carcharhinus perezii</x:v>
      </x:c>
    </x:row>
    <x:row r="40">
      <x:c r="A40" s="49" t="str">
        <x:v>caribbean</x:v>
      </x:c>
      <x:c r="B40" s="50" t="str">
        <x:v>essential</x:v>
      </x:c>
      <x:c r="C40" s="50" t="n">
        <x:v>9</x:v>
      </x:c>
      <x:c r="D40" s="50" t="n">
        <x:v>4631</x:v>
      </x:c>
      <x:c r="E40" s="43" t="str">
        <x:v>Magnificent Frigatebird</x:v>
      </x:c>
      <x:c r="F40" s="44" t="str">
        <x:v>Fregata magnificens</x:v>
      </x:c>
    </x:row>
    <x:row r="41">
      <x:c r="A41" s="49" t="str">
        <x:v>caribbean</x:v>
      </x:c>
      <x:c r="B41" s="50" t="str">
        <x:v>essential</x:v>
      </x:c>
      <x:c r="C41" s="50" t="n">
        <x:v>10</x:v>
      </x:c>
      <x:c r="D41" s="50" t="n">
        <x:v>6892</x:v>
      </x:c>
      <x:c r="E41" s="43" t="str">
        <x:v>West Indian Whistling-Duck</x:v>
      </x:c>
      <x:c r="F41" s="44" t="str">
        <x:v>Dendrocygna arborea</x:v>
      </x:c>
    </x:row>
    <x:row r="42">
      <x:c r="A42" s="49" t="str">
        <x:v>caribbean</x:v>
      </x:c>
      <x:c r="B42" s="50" t="str">
        <x:v>icon</x:v>
      </x:c>
      <x:c r="C42" s="50" t="n">
        <x:v>1</x:v>
      </x:c>
      <x:c r="D42" s="50" t="n">
        <x:v>46316</x:v>
      </x:c>
      <x:c r="E42" s="43" t="str">
        <x:v>West Indian Manatee</x:v>
      </x:c>
      <x:c r="F42" s="44" t="str">
        <x:v>Trichechus manatus</x:v>
      </x:c>
    </x:row>
    <x:row r="43">
      <x:c r="A43" s="49" t="str">
        <x:v>caribbean</x:v>
      </x:c>
      <x:c r="B43" s="50" t="str">
        <x:v>icon</x:v>
      </x:c>
      <x:c r="C43" s="50" t="n">
        <x:v>2</x:v>
      </x:c>
      <x:c r="D43" s="50" t="n">
        <x:v>39672</x:v>
      </x:c>
      <x:c r="E43" s="43" t="str">
        <x:v>Hawksbill Sea Turtle</x:v>
      </x:c>
      <x:c r="F43" s="44" t="str">
        <x:v>Eretmochelys imbricata</x:v>
      </x:c>
    </x:row>
    <x:row r="44">
      <x:c r="A44" s="49" t="str">
        <x:v>caribbean</x:v>
      </x:c>
      <x:c r="B44" s="50" t="str">
        <x:v>icon</x:v>
      </x:c>
      <x:c r="C44" s="50" t="n">
        <x:v>3</x:v>
      </x:c>
      <x:c r="D44" s="50" t="n">
        <x:v>26061</x:v>
      </x:c>
      <x:c r="E44" s="43" t="str">
        <x:v>Cuban Crocodile</x:v>
      </x:c>
      <x:c r="F44" s="44" t="str">
        <x:v>Crocodylus rhombifer</x:v>
      </x:c>
    </x:row>
    <x:row r="45">
      <x:c r="A45" s="49" t="str">
        <x:v>caribbean</x:v>
      </x:c>
      <x:c r="B45" s="50" t="str">
        <x:v>icon</x:v>
      </x:c>
      <x:c r="C45" s="50" t="n">
        <x:v>4</x:v>
      </x:c>
      <x:c r="D45" s="50" t="n">
        <x:v>35298</x:v>
      </x:c>
      <x:c r="E45" s="43" t="str">
        <x:v>Jamaica Ground Iguana</x:v>
      </x:c>
      <x:c r="F45" s="44" t="str">
        <x:v>Cyclura collei</x:v>
      </x:c>
    </x:row>
    <x:row r="46">
      <x:c r="A46" s="51" t="str">
        <x:v>caribbean</x:v>
      </x:c>
      <x:c r="B46" s="52" t="str">
        <x:v>icon</x:v>
      </x:c>
      <x:c r="C46" s="52" t="n">
        <x:v>5</x:v>
      </x:c>
      <x:c r="D46" s="52" t="n">
        <x:v>19006</x:v>
      </x:c>
      <x:c r="E46" s="47" t="str">
        <x:v>Puerto Rican Amazon</x:v>
      </x:c>
      <x:c r="F46" s="48" t="str">
        <x:v>Amazona vittata</x:v>
      </x:c>
    </x:row>
  </x:sheetData>
  <x:dataValidations count="3">
    <x:dataValidation type="list" sqref="A2:A46">
      <x:formula1>"mediterranean_europe,east_africa,caribbean"</x:formula1>
    </x:dataValidation>
    <x:dataValidation type="list" sqref="B2:B46">
      <x:formula1>"essential,icon"</x:formula1>
    </x:dataValidation>
    <x:dataValidation type="whole" operator="between" sqref="C2:C46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d34638da8654b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2" hidden="0" customWidth="1"/>
    <x:col min="4" max="4" width="42" hidden="0" customWidth="1"/>
    <x:col min="6" max="6" width="22" hidden="0" customWidth="1"/>
    <x:col min="7" max="7" width="22" hidden="0" customWidth="1"/>
    <x:col min="8" max="8" width="16" hidden="0" customWidth="1"/>
    <x:col min="10" max="10" width="22" hidden="0" customWidth="1"/>
    <x:col min="11" max="11" width="18" hidden="0" customWidth="1"/>
    <x:col min="12" max="12" width="18" hidden="0" customWidth="1"/>
    <x:col min="14" max="14" width="30" hidden="0" customWidth="1"/>
    <x:col min="15" max="15" width="18" hidden="0" customWidth="1"/>
    <x:col min="16" max="16" width="18" hidden="0" customWidth="1"/>
  </x:cols>
  <x:sheetData>
    <x:row r="1">
      <x:c r="A1" s="33" t="str">
        <x:v>XP configuration</x:v>
      </x:c>
      <x:c r="B1" s="34" t="str">
        <x:v>Value</x:v>
      </x:c>
      <x:c r="C1" s="34" t="str">
        <x:v>Enabled</x:v>
      </x:c>
      <x:c r="D1" s="35" t="str">
        <x:v>Meaning</x:v>
      </x:c>
      <x:c r="F1" s="33" t="str">
        <x:v>Level key</x:v>
      </x:c>
      <x:c r="G1" s="34" t="str">
        <x:v>Display name</x:v>
      </x:c>
      <x:c r="H1" s="35" t="str">
        <x:v>Threshold XP</x:v>
      </x:c>
      <x:c r="J1" s="33" t="str">
        <x:v>Repeat observation</x:v>
      </x:c>
      <x:c r="K1" s="34" t="str">
        <x:v>Occurrence in ISO week</x:v>
      </x:c>
      <x:c r="L1" s="35" t="str">
        <x:v>XP</x:v>
      </x:c>
      <x:c r="N1" s="33" t="str">
        <x:v>Pacing check</x:v>
      </x:c>
      <x:c r="O1" s="34" t="str">
        <x:v>XP</x:v>
      </x:c>
      <x:c r="P1" s="35" t="str">
        <x:v>Projected level</x:v>
      </x:c>
    </x:row>
    <x:row r="2">
      <x:c r="A2" s="20" t="str">
        <x:v>rules_version</x:v>
      </x:c>
      <x:c r="B2" s="54" t="str">
        <x:v>progression-0.2-regional-experimental</x:v>
      </x:c>
      <x:c r="C2" s="16" t="str"/>
      <x:c r="D2" s="17" t="str">
        <x:v>Version label for this rules set</x:v>
      </x:c>
      <x:c r="F2" s="15" t="str">
        <x:v>tourist</x:v>
      </x:c>
      <x:c r="G2" s="16" t="str">
        <x:v>Tourist</x:v>
      </x:c>
      <x:c r="H2" s="59" t="n">
        <x:v>0</x:v>
      </x:c>
      <x:c r="J2" s="15" t="str">
        <x:v>confirmed_observation</x:v>
      </x:c>
      <x:c r="K2" s="16" t="n">
        <x:v>1</x:v>
      </x:c>
      <x:c r="L2" s="17" t="n">
        <x:v>10</x:v>
      </x:c>
      <x:c r="N2" s="15" t="str">
        <x:v>10 Common first discoveries</x:v>
      </x:c>
      <x:c r="O2" s="61" t="n">
        <x:f>10*($B$3+$B$4+$B$6+$B$12)</x:f>
        <x:v>6100</x:v>
      </x:c>
      <x:c r="P2" s="17" t="str">
        <x:f>IF(O2&gt;=H8,G8,IF(O2&gt;=H7,G7,IF(O2&gt;=H6,G6,IF(O2&gt;=H5,G5,IF(O2&gt;=H4,G4,IF(O2&gt;=H3,G3,G2))))))</x:f>
        <x:v>Naturalist</x:v>
      </x:c>
    </x:row>
    <x:row r="3">
      <x:c r="A3" s="20" t="str">
        <x:v>confirmed_observation</x:v>
      </x:c>
      <x:c r="B3" s="54" t="n">
        <x:v>10</x:v>
      </x:c>
      <x:c r="C3" s="55" t="b">
        <x:v>1</x:v>
      </x:c>
      <x:c r="D3" s="17" t="str">
        <x:v>Base observation event</x:v>
      </x:c>
      <x:c r="F3" s="15" t="str">
        <x:v>explorer</x:v>
      </x:c>
      <x:c r="G3" s="16" t="str">
        <x:v>Explorer</x:v>
      </x:c>
      <x:c r="H3" s="59" t="n">
        <x:v>500</x:v>
      </x:c>
      <x:c r="J3" s="15" t="str">
        <x:v>confirmed_observation</x:v>
      </x:c>
      <x:c r="K3" s="16" t="n">
        <x:v>2</x:v>
      </x:c>
      <x:c r="L3" s="17" t="n">
        <x:v>5</x:v>
      </x:c>
      <x:c r="N3" s="15" t="str">
        <x:v>50 Common first discoveries</x:v>
      </x:c>
      <x:c r="O3" s="61" t="n">
        <x:f>50*($B$3+$B$4+$B$6+$B$12)</x:f>
        <x:v>30500</x:v>
      </x:c>
      <x:c r="P3" s="17" t="e">
        <x:f>IF(O3&gt;=H9,G9,IF(O3&gt;=H8,G8,IF(O3&gt;=H7,G7,IF(O3&gt;=H6,G6,IF(O3&gt;=H5,G5,IF(O3&gt;=H4,G4,G3))))))</x:f>
        <x:v>#VALUE!</x:v>
      </x:c>
    </x:row>
    <x:row r="4">
      <x:c r="A4" s="20" t="str">
        <x:v>first_species</x:v>
      </x:c>
      <x:c r="B4" s="54" t="n">
        <x:v>500</x:v>
      </x:c>
      <x:c r="C4" s="55" t="b">
        <x:v>1</x:v>
      </x:c>
      <x:c r="D4" s="17" t="str">
        <x:v>First confirmed collection species globally</x:v>
      </x:c>
      <x:c r="F4" s="15" t="str">
        <x:v>naturalist</x:v>
      </x:c>
      <x:c r="G4" s="16" t="str">
        <x:v>Naturalist</x:v>
      </x:c>
      <x:c r="H4" s="59" t="n">
        <x:v>2500</x:v>
      </x:c>
      <x:c r="J4" s="45" t="str">
        <x:v>confirmed_observation</x:v>
      </x:c>
      <x:c r="K4" s="46" t="n">
        <x:v>3</x:v>
      </x:c>
      <x:c r="L4" s="58" t="n">
        <x:v>5</x:v>
      </x:c>
      <x:c r="N4" s="15" t="str">
        <x:v>200 Common first discoveries</x:v>
      </x:c>
      <x:c r="O4" s="61" t="n">
        <x:f>200*($B$3+$B$4+$B$6+$B$12)</x:f>
        <x:v>122000</x:v>
      </x:c>
      <x:c r="P4" s="17" t="e">
        <x:f>IF(O4&gt;=H10,G10,IF(O4&gt;=H9,G9,IF(O4&gt;=H8,G8,IF(O4&gt;=H7,G7,IF(O4&gt;=H6,G6,IF(O4&gt;=H5,G5,G4))))))</x:f>
        <x:v>#VALUE!</x:v>
      </x:c>
    </x:row>
    <x:row r="5">
      <x:c r="A5" s="20" t="str">
        <x:v>research_grade</x:v>
      </x:c>
      <x:c r="B5" s="54" t="n">
        <x:v>50</x:v>
      </x:c>
      <x:c r="C5" s="55" t="b">
        <x:v>1</x:v>
      </x:c>
      <x:c r="D5" s="17" t="str">
        <x:v>Research Grade observation</x:v>
      </x:c>
      <x:c r="F5" s="15" t="str">
        <x:v>tracker</x:v>
      </x:c>
      <x:c r="G5" s="16" t="str">
        <x:v>Tracker</x:v>
      </x:c>
      <x:c r="H5" s="59" t="n">
        <x:v>7500</x:v>
      </x:c>
      <x:c r="N5" s="45" t="str">
        <x:v>Full pilot catalogue (manual scenario)</x:v>
      </x:c>
      <x:c r="O5" s="62" t="n">
        <x:v>0</x:v>
      </x:c>
      <x:c r="P5" s="58" t="e">
        <x:f>IF(O5&gt;=H11,G11,IF(O5&gt;=H10,G10,IF(O5&gt;=H9,G9,IF(O5&gt;=H8,G8,IF(O5&gt;=H7,G7,IF(O5&gt;=H6,G6,G5))))))</x:f>
        <x:v>#VALUE!</x:v>
      </x:c>
    </x:row>
    <x:row r="6">
      <x:c r="A6" s="20" t="str">
        <x:v>regional_discovery</x:v>
      </x:c>
      <x:c r="B6" s="54" t="n">
        <x:v>100</x:v>
      </x:c>
      <x:c r="C6" s="55" t="b">
        <x:v>1</x:v>
      </x:c>
      <x:c r="D6" s="17" t="str">
        <x:v>First confirmed species in a regional catalogue</x:v>
      </x:c>
      <x:c r="F6" s="15" t="str">
        <x:v>field_ranger</x:v>
      </x:c>
      <x:c r="G6" s="16" t="str">
        <x:v>Field Ranger</x:v>
      </x:c>
      <x:c r="H6" s="59" t="n">
        <x:v>20000</x:v>
      </x:c>
    </x:row>
    <x:row r="7">
      <x:c r="A7" s="20" t="str">
        <x:v>regional_legend</x:v>
      </x:c>
      <x:c r="B7" s="54" t="n">
        <x:v>1000</x:v>
      </x:c>
      <x:c r="C7" s="55" t="b">
        <x:v>1</x:v>
      </x:c>
      <x:c r="D7" s="17" t="str">
        <x:v>Regional Legendary prestige</x:v>
      </x:c>
      <x:c r="F7" s="15" t="str">
        <x:v>master_ranger</x:v>
      </x:c>
      <x:c r="G7" s="16" t="str">
        <x:v>Master Ranger</x:v>
      </x:c>
      <x:c r="H7" s="59" t="n">
        <x:v>50000</x:v>
      </x:c>
    </x:row>
    <x:row r="8">
      <x:c r="A8" s="20" t="str">
        <x:v>regional_essentials</x:v>
      </x:c>
      <x:c r="B8" s="54" t="n">
        <x:v>1500</x:v>
      </x:c>
      <x:c r="C8" s="55" t="b">
        <x:v>1</x:v>
      </x:c>
      <x:c r="D8" s="17" t="str">
        <x:v>Complete a region's 10 Essentials</x:v>
      </x:c>
      <x:c r="F8" s="45" t="str">
        <x:v>legendary_ranger</x:v>
      </x:c>
      <x:c r="G8" s="46" t="str">
        <x:v>Legendary Ranger</x:v>
      </x:c>
      <x:c r="H8" s="60" t="n">
        <x:v>100000</x:v>
      </x:c>
    </x:row>
    <x:row r="9">
      <x:c r="A9" s="20" t="str">
        <x:v>regional_icons</x:v>
      </x:c>
      <x:c r="B9" s="54" t="n">
        <x:v>3000</x:v>
      </x:c>
      <x:c r="C9" s="55" t="b">
        <x:v>1</x:v>
      </x:c>
      <x:c r="D9" s="17" t="str">
        <x:v>Complete a region's 5 Icons</x:v>
      </x:c>
    </x:row>
    <x:row r="10">
      <x:c r="A10" s="20" t="str">
        <x:v>identification_given</x:v>
      </x:c>
      <x:c r="B10" s="54" t="n">
        <x:v>25</x:v>
      </x:c>
      <x:c r="C10" s="55" t="b">
        <x:v>0</x:v>
      </x:c>
      <x:c r="D10" s="17" t="str">
        <x:v>Disabled future event</x:v>
      </x:c>
    </x:row>
    <x:row r="11">
      <x:c r="A11" s="20" t="str">
        <x:v>anomaly_confirmed</x:v>
      </x:c>
      <x:c r="B11" s="54" t="n">
        <x:v>250</x:v>
      </x:c>
      <x:c r="C11" s="55" t="b">
        <x:v>0</x:v>
      </x:c>
      <x:c r="D11" s="17" t="str">
        <x:v>Disabled future event</x:v>
      </x:c>
    </x:row>
    <x:row r="12">
      <x:c r="A12" s="20" t="str">
        <x:v>rarity_common</x:v>
      </x:c>
      <x:c r="B12" s="54" t="n">
        <x:v>0</x:v>
      </x:c>
      <x:c r="C12" s="55" t="b">
        <x:v>1</x:v>
      </x:c>
      <x:c r="D12" s="17" t="str">
        <x:v>Regional rarity bonus</x:v>
      </x:c>
    </x:row>
    <x:row r="13">
      <x:c r="A13" s="20" t="str">
        <x:v>rarity_uncommon</x:v>
      </x:c>
      <x:c r="B13" s="54" t="n">
        <x:v>50</x:v>
      </x:c>
      <x:c r="C13" s="55" t="b">
        <x:v>1</x:v>
      </x:c>
      <x:c r="D13" s="17" t="str">
        <x:v>Regional rarity bonus</x:v>
      </x:c>
    </x:row>
    <x:row r="14">
      <x:c r="A14" s="20" t="str">
        <x:v>rarity_rare</x:v>
      </x:c>
      <x:c r="B14" s="54" t="n">
        <x:v>150</x:v>
      </x:c>
      <x:c r="C14" s="55" t="b">
        <x:v>1</x:v>
      </x:c>
      <x:c r="D14" s="17" t="str">
        <x:v>Regional rarity bonus</x:v>
      </x:c>
    </x:row>
    <x:row r="15">
      <x:c r="A15" s="22" t="str">
        <x:v>rarity_very_rare</x:v>
      </x:c>
      <x:c r="B15" s="56" t="n">
        <x:v>300</x:v>
      </x:c>
      <x:c r="C15" s="57" t="b">
        <x:v>1</x:v>
      </x:c>
      <x:c r="D15" s="58" t="str">
        <x:v>Regional rarity bonus</x:v>
      </x:c>
    </x:row>
  </x:sheetData>
  <x:dataValidations count="1">
    <x:dataValidation type="list" sqref="C2:C15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22" hidden="0" customWidth="1"/>
  </x:cols>
  <x:sheetData>
    <x:row r="1">
      <x:c r="A1" s="66" t="str">
        <x:v>Workbook validation — must all be OK before import</x:v>
      </x:c>
    </x:row>
    <x:row r="3">
      <x:c r="A3" s="33" t="str">
        <x:v>Region</x:v>
      </x:c>
      <x:c r="B3" s="34" t="str">
        <x:v>Essentials</x:v>
      </x:c>
      <x:c r="C3" s="34" t="str">
        <x:v>Icons</x:v>
      </x:c>
      <x:c r="D3" s="35" t="str">
        <x:v>Status</x:v>
      </x:c>
    </x:row>
    <x:row r="4">
      <x:c r="A4" s="15" t="str">
        <x:v>mediterranean_europe</x:v>
      </x:c>
      <x:c r="B4" s="16" t="n">
        <x:f>COUNTIFS(Checklists!$A$2:$A$46,A4,Checklists!$B$2:$B$46,"essential")</x:f>
        <x:v>10</x:v>
      </x:c>
      <x:c r="C4" s="16" t="n">
        <x:f>COUNTIFS(Checklists!$A$2:$A$46,A4,Checklists!$B$2:$B$46,"icon")</x:f>
        <x:v>5</x:v>
      </x:c>
      <x:c r="D4" s="17" t="str">
        <x:f>IF(AND(B4=10,C4=5),"OK","FIX CHECKLIST")</x:f>
        <x:v>OK</x:v>
      </x:c>
    </x:row>
    <x:row r="5">
      <x:c r="A5" s="15" t="str">
        <x:v>east_africa</x:v>
      </x:c>
      <x:c r="B5" s="16" t="n">
        <x:f>COUNTIFS(Checklists!$A$2:$A$46,A5,Checklists!$B$2:$B$46,"essential")</x:f>
        <x:v>10</x:v>
      </x:c>
      <x:c r="C5" s="16" t="n">
        <x:f>COUNTIFS(Checklists!$A$2:$A$46,A5,Checklists!$B$2:$B$46,"icon")</x:f>
        <x:v>5</x:v>
      </x:c>
      <x:c r="D5" s="17" t="str">
        <x:f>IF(AND(B5=10,C5=5),"OK","FIX CHECKLIST")</x:f>
        <x:v>OK</x:v>
      </x:c>
    </x:row>
    <x:row r="6">
      <x:c r="A6" s="45" t="str">
        <x:v>caribbean</x:v>
      </x:c>
      <x:c r="B6" s="46" t="n">
        <x:f>COUNTIFS(Checklists!$A$2:$A$46,A6,Checklists!$B$2:$B$46,"essential")</x:f>
        <x:v>10</x:v>
      </x:c>
      <x:c r="C6" s="46" t="n">
        <x:f>COUNTIFS(Checklists!$A$2:$A$46,A6,Checklists!$B$2:$B$46,"icon")</x:f>
        <x:v>5</x:v>
      </x:c>
      <x:c r="D6" s="58" t="str">
        <x:f>IF(AND(B6=10,C6=5),"OK","FIX CHECKLIST")</x:f>
        <x:v>OK</x:v>
      </x:c>
    </x:row>
    <x:row r="8" ht="44" customHeight="1">
      <x:c r="A8" s="69" t="str">
        <x:v>Importer checks additional safeguards: known taxon IDs, no duplicate checklist entries, checklist taxa belong to the region, contiguous positions, valid rarity/prestige, unique level keys and increasing thresholds.</x:v>
      </x:c>
    </x:row>
  </x:sheetData>
  <x:mergeCells>
    <x:mergeCell ref="A1:D1"/>
    <x:mergeCell ref="A8:D8"/>
  </x:mergeCells>
  <x:conditionalFormatting sqref="D4:D6">
    <x:cfRule type="containsText" dxfId="0" priority="1" operator="containsText" text="FIX"/>
    <x:cfRule type="containsText" dxfId="1" priority="2" operator="containsText" text="OK"/>
  </x:conditionalFormatting>
  <x:pageMargins left="0.7" right="0.7" top="0.75" bottom="0.75" header="0.3" footer="0.3"/>
</x:worksheet>
</file>